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5"/>
  <workbookPr/>
  <mc:AlternateContent xmlns:mc="http://schemas.openxmlformats.org/markup-compatibility/2006">
    <mc:Choice Requires="x15">
      <x15ac:absPath xmlns:x15ac="http://schemas.microsoft.com/office/spreadsheetml/2010/11/ac" url="/Users/hylia/Downloads/"/>
    </mc:Choice>
  </mc:AlternateContent>
  <xr:revisionPtr revIDLastSave="0" documentId="13_ncr:1_{FB76DDBF-ADB3-7848-9599-BD902DFC097A}" xr6:coauthVersionLast="47" xr6:coauthVersionMax="47" xr10:uidLastSave="{00000000-0000-0000-0000-000000000000}"/>
  <bookViews>
    <workbookView xWindow="0" yWindow="600" windowWidth="24960" windowHeight="19280" xr2:uid="{00000000-000D-0000-FFFF-FFFF00000000}"/>
  </bookViews>
  <sheets>
    <sheet name="AP_Export" sheetId="1" r:id="rId1"/>
    <sheet name="Clean" sheetId="2" r:id="rId2"/>
    <sheet name="Clean_Data" sheetId="3" r:id="rId3"/>
    <sheet name="Quality_Report" sheetId="4" r:id="rId4"/>
  </sheets>
  <definedNames>
    <definedName name="_xlnm._FilterDatabase" localSheetId="2" hidden="1">Clean_Data!$A$1:$I$561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 a="1"/>
  <c r="A1" i="2" a="1"/>
  <c r="A3" i="2" s="1" a="1"/>
  <c r="A5" i="2" s="1" a="1"/>
  <c r="A7" i="2" s="1" a="1"/>
  <c r="A9" i="2" s="1" a="1"/>
  <c r="A11" i="2" s="1" a="1"/>
  <c r="A13" i="2" s="1" a="1"/>
  <c r="A15" i="2" s="1" a="1"/>
  <c r="A17" i="2" s="1" a="1"/>
  <c r="A1" i="3" s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77">
    <bk>
      <extLst>
        <ext uri="{3e2802c4-a4d2-4d8b-9148-e3be6c30e623}">
          <xlrd:rvb i="7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4"/>
        </ext>
      </extLst>
    </bk>
  </futureMetadata>
  <cellMetadata count="1">
    <bk>
      <rc t="1" v="0"/>
    </bk>
  </cellMetadata>
  <valueMetadata count="37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df = xl(%P2%, headers=True)
df</code>
    </pythonScript>
    <pythonScript>
      <code>df = df.dropna(how="all")
df = df[df["Vendor Name"].notna()]
df = df[~df["Vendor Name"].astype(str).str.startswith("Subtotal")]
df.shape</code>
    </pythonScript>
    <pythonScript>
      <code>df["Invoice #"] = (df["Invoice #"].astype(str).str.upper()
                   .str.replace(r"[^A-Z0-9]", "", regex=True)
                   .str.replace(r"^INV", "INV-", regex=True))
df["Invoice #"].nunique()</code>
    </pythonScript>
    <pythonScript>
      <code>dupes = df.duplicated(subset="Invoice #").sum()
df = df.drop_duplicates(subset="Invoice #", keep="first")
dupes, df.shape</code>
    </pythonScript>
    <pythonScript>
      <code>df["Vendor Name"].value_counts()</code>
    </pythonScript>
    <pythonScript>
      <code>import re
canon = {
    "timberline": "Timberline Mills",
    "ironwood": "Ironwood Hardware Supply",
    "riverbend": "Riverbend Fasteners Co.",
    "pacificfreight": "Pacific Freight Lines Inc.",
    "blueriver": "BlueRiver Software",
    "harborlight": "Harbor Light Utilities",
    "northgate": "Northgate Marketing Group",
    "keller": "Keller &amp; Moss CPAs",
}
def clean_vendor(name):
    key = re.sub(r"[^a-z]", "", str(name).lower())
    for start, official in canon.items():
        if key.startswith(start):
            return official
    return None
df["Vendor Name"] = df["Vendor Name"].map(clean_vendor)
df["Vendor Name"].value_counts(dropna=False)</code>
    </pythonScript>
    <pythonScript>
      <code>vendor_category = {
    "Timberline Mills": "Inventory",
    "Ironwood Hardware Supply": "Inventory",
    "Riverbend Fasteners Co.": "Inventory",
    "Pacific Freight Lines Inc.": "Freight",
    "BlueRiver Software": "Software",
    "Harbor Light Utilities": "Utilities",
    "Northgate Marketing Group": "Marketing",
    "Keller &amp; Moss CPAs": "Professional Fees",
}
df["Category"] = df["Vendor Name"].map(vendor_category)
status_map = {"paid": "Paid", "open": "Open", "pending": "Open",
              "overdue": "Overdue", "past due": "Overdue"}
df["Status"] = df["Status"].astype(str).str.strip().str.lower().map(status_map)
pd.crosstab(df["Category"], df["Status"], margins=True)</code>
    </pythonScript>
    <pythonScript>
      <code>for col in ["Inv Date", "Due Date"]:
    df[col] = pd.to_datetime(df[col].astype(str).str.strip(), format="mixed")
(df["Due Date"] - df["Inv Date"]).dt.days.value_counts()</code>
    </pythonScript>
    <pythonScript>
      <code>raw = df["Amount"].astype(str).str.strip()
clues = df["Curr"].astype(str).str.upper() + " " + raw.str.upper()
df["Curr"] = clues.str.contains("EUR|€").map({True: "EUR", False: "USD"})
negative = raw.str.startswith("(") | raw.str.contains("-")
df["Amount"] = raw.str.replace(r"[^0-9.]", "", regex=True).astype(float)
df.loc[negative, "Amount"] = -df.loc[negative, "Amount"]
df.groupby("Curr")["Amount"].agg(["count", "sum"])</code>
    </pythonScript>
    <pythonScript>
      <code>final = (df.rename(columns={"Invoice #": "Invoice No", "Vendor Name": "Vendor",
                            "Inv Date": "Invoice Date", "Curr": "Currency"})
           .fillna({"Notes": ""})
           .sort_values("Invoice Date")
           .reset_index(drop=True))
final</code>
    </pythonScript>
    <pythonScript>
      <code>raw = xl(%P2%, headers=True)
raw_inv = raw[raw["Vendor Name"].notna()
              &amp; ~raw["Vendor Name"].astype(str).str.startswith("Subtotal")]
report = pd.DataFrame({
    "Check": [
        "Total rows",
        "Non-invoice rows (blanks, subtotals, footer)",
        "Duplicate invoices",
        "Vendor name variants",
        "Category labels",
        "Missing categories",
        "Status labels",
        "Amounts stored as text",
    ],
    "Before": [
        len(raw),
        len(raw) - len(raw_inv),
        dupes,
        raw_inv["Vendor Name"].nunique(),
        raw_inv["Category"].nunique(),
        raw_inv["Category"].isna().sum(),
        raw_inv["Status"].nunique(),
        raw_inv["Amount"].apply(lambda x: isinstance(x, str)).sum(),
    ],
    "After": [
        len(final),
        0,
        final["Invoice No"].duplicated().sum(),
        final["Vendor"].nunique(),
        final["Category"].nunique(),
        final["Category"].isna().sum(),
        final["Status"].nunique(),
        final["Amount"].apply(lambda x: isinstance(x, str)).sum(),
    ],
})
report</code>
    </pythonScript>
  </pythonScripts>
</python>
</file>

<file path=xl/sharedStrings.xml><?xml version="1.0" encoding="utf-8"?>
<sst xmlns="http://schemas.openxmlformats.org/spreadsheetml/2006/main" count="4323" uniqueCount="1622">
  <si>
    <t>LOST WOODS LUMBER CO. - ACCOUNTS PAYABLE DETAIL</t>
  </si>
  <si>
    <t>Run date: 01/05/2026 08:14   User: jmorales   Period: 01/2025 - 12/2025</t>
  </si>
  <si>
    <t>Invoice #</t>
  </si>
  <si>
    <t>Vendor Name</t>
  </si>
  <si>
    <t>Inv Date</t>
  </si>
  <si>
    <t>Due Date</t>
  </si>
  <si>
    <t>Amount</t>
  </si>
  <si>
    <t>Curr</t>
  </si>
  <si>
    <t>Category</t>
  </si>
  <si>
    <t>Status</t>
  </si>
  <si>
    <t>Notes</t>
  </si>
  <si>
    <t>INV-20250228</t>
  </si>
  <si>
    <t>BlueRiver Software</t>
  </si>
  <si>
    <t xml:space="preserve"> 1,451.82 </t>
  </si>
  <si>
    <t>usd</t>
  </si>
  <si>
    <t>software</t>
  </si>
  <si>
    <t>Paid</t>
  </si>
  <si>
    <t>partial shipment</t>
  </si>
  <si>
    <t>INV-20250554</t>
  </si>
  <si>
    <t>Riverbend Fasteners Company</t>
  </si>
  <si>
    <t>Feb 15 2025</t>
  </si>
  <si>
    <t>24832.69</t>
  </si>
  <si>
    <t>US$</t>
  </si>
  <si>
    <t>INVENTORY</t>
  </si>
  <si>
    <t>approved by JM</t>
  </si>
  <si>
    <t>INV-20250263</t>
  </si>
  <si>
    <t xml:space="preserve">Northgate Marketing Group </t>
  </si>
  <si>
    <t>01/02/2025</t>
  </si>
  <si>
    <t>02/01/2025</t>
  </si>
  <si>
    <t>$</t>
  </si>
  <si>
    <t>marketing</t>
  </si>
  <si>
    <t>paid</t>
  </si>
  <si>
    <t>INV-20250382</t>
  </si>
  <si>
    <t>TIMBERLINE MILLS</t>
  </si>
  <si>
    <t>01/03/2025</t>
  </si>
  <si>
    <t>2025-02-17</t>
  </si>
  <si>
    <t xml:space="preserve"> 22,058.38 </t>
  </si>
  <si>
    <t>USD</t>
  </si>
  <si>
    <t>INV-20250130</t>
  </si>
  <si>
    <t xml:space="preserve"> Pacific Freight Lines Inc.</t>
  </si>
  <si>
    <t>02/03/2025</t>
  </si>
  <si>
    <t>PAID</t>
  </si>
  <si>
    <t>INV-20250413</t>
  </si>
  <si>
    <t>PACIFIC FREIGHT LINES INC</t>
  </si>
  <si>
    <t>Jan 04 2025</t>
  </si>
  <si>
    <t>$8,769.53</t>
  </si>
  <si>
    <t>Shipping</t>
  </si>
  <si>
    <t>INV-20250162</t>
  </si>
  <si>
    <t>Pacific Freight Lines, Inc.</t>
  </si>
  <si>
    <t>20250106</t>
  </si>
  <si>
    <t>2025-02-05</t>
  </si>
  <si>
    <t>7532.55</t>
  </si>
  <si>
    <t xml:space="preserve"> inv-20250103</t>
  </si>
  <si>
    <t>Pacific Freight Lines Inc</t>
  </si>
  <si>
    <t>20250107</t>
  </si>
  <si>
    <t>Feb 06 2025</t>
  </si>
  <si>
    <t>8202.69</t>
  </si>
  <si>
    <t>freight</t>
  </si>
  <si>
    <t>see email</t>
  </si>
  <si>
    <t>INV-20250204</t>
  </si>
  <si>
    <t>Timberline Mill</t>
  </si>
  <si>
    <t>2025-02-21</t>
  </si>
  <si>
    <t>30,956.14</t>
  </si>
  <si>
    <t>Inventory</t>
  </si>
  <si>
    <t>rush</t>
  </si>
  <si>
    <t>INV-20250071</t>
  </si>
  <si>
    <t>$4,811.09</t>
  </si>
  <si>
    <t xml:space="preserve">Inventory </t>
  </si>
  <si>
    <t>Overdue</t>
  </si>
  <si>
    <t>INV-20250341</t>
  </si>
  <si>
    <t>2025-01-09</t>
  </si>
  <si>
    <t>02/23/2025</t>
  </si>
  <si>
    <t>USD 23,452.82</t>
  </si>
  <si>
    <t>INV-20250355</t>
  </si>
  <si>
    <t>Timberline Mills</t>
  </si>
  <si>
    <t>Jan 10 2025</t>
  </si>
  <si>
    <t>€8,244.74</t>
  </si>
  <si>
    <t>€</t>
  </si>
  <si>
    <t>INV-20250290</t>
  </si>
  <si>
    <t>Ironwood  Hardware Supply</t>
  </si>
  <si>
    <t>Jan 11 2025</t>
  </si>
  <si>
    <t>$22,949.70</t>
  </si>
  <si>
    <t>OVERDUE</t>
  </si>
  <si>
    <t>INV-20250486</t>
  </si>
  <si>
    <t>timberline mills</t>
  </si>
  <si>
    <t>$25,474.10</t>
  </si>
  <si>
    <t>INV-20250494</t>
  </si>
  <si>
    <t>Feb 10 2025</t>
  </si>
  <si>
    <t xml:space="preserve"> 2,914.79 </t>
  </si>
  <si>
    <t>INV-20250412</t>
  </si>
  <si>
    <t>NorthGate Marketing Group</t>
  </si>
  <si>
    <t>12-Jan-2025</t>
  </si>
  <si>
    <t>02/11/2025</t>
  </si>
  <si>
    <t>USD 14,787.72</t>
  </si>
  <si>
    <t>Marketing</t>
  </si>
  <si>
    <t>INV-20250429</t>
  </si>
  <si>
    <t>01/13/2025</t>
  </si>
  <si>
    <t>SaaS</t>
  </si>
  <si>
    <t>INV-20250389</t>
  </si>
  <si>
    <t>Jan 14 2025</t>
  </si>
  <si>
    <t>2025-02-28</t>
  </si>
  <si>
    <t>$6,087.45</t>
  </si>
  <si>
    <t>INV20250528</t>
  </si>
  <si>
    <t>Ironwood Hardware Supply</t>
  </si>
  <si>
    <t>Feb 28 2025</t>
  </si>
  <si>
    <t xml:space="preserve">Paid </t>
  </si>
  <si>
    <t>INV-20250034</t>
  </si>
  <si>
    <t>Ironwood Hardwre Supply</t>
  </si>
  <si>
    <t>2025-01-15</t>
  </si>
  <si>
    <t>03/01/2025</t>
  </si>
  <si>
    <t>USD 47,542.56</t>
  </si>
  <si>
    <t>INV-20250041</t>
  </si>
  <si>
    <t>Mar 01 2025</t>
  </si>
  <si>
    <t>10,650.63 usd</t>
  </si>
  <si>
    <t>inventory</t>
  </si>
  <si>
    <t xml:space="preserve"> inv-20250276</t>
  </si>
  <si>
    <t>Riverbend Fasteners Co</t>
  </si>
  <si>
    <t>INV-20250326</t>
  </si>
  <si>
    <t>Keller and Moss CPAs</t>
  </si>
  <si>
    <t>Feb 14 2025</t>
  </si>
  <si>
    <t>10,290.79 usd</t>
  </si>
  <si>
    <t>Prof. Fees</t>
  </si>
  <si>
    <t>INV-20250423</t>
  </si>
  <si>
    <t>INV-20250410</t>
  </si>
  <si>
    <t>overdue</t>
  </si>
  <si>
    <t>INV-20250470</t>
  </si>
  <si>
    <t>20250115</t>
  </si>
  <si>
    <t>01-Mar-2025</t>
  </si>
  <si>
    <t>41316.85</t>
  </si>
  <si>
    <t>INV-20250512</t>
  </si>
  <si>
    <t>$13,337.96</t>
  </si>
  <si>
    <t>INV-20250526</t>
  </si>
  <si>
    <t>Northgate Mktg Group</t>
  </si>
  <si>
    <t>7937.84</t>
  </si>
  <si>
    <t>INV-20250218</t>
  </si>
  <si>
    <t>$5,832.58</t>
  </si>
  <si>
    <t>INV-20250299</t>
  </si>
  <si>
    <t>riverbend fasteners co.</t>
  </si>
  <si>
    <t>2025-03-03</t>
  </si>
  <si>
    <t xml:space="preserve"> -833.23 </t>
  </si>
  <si>
    <t>INV-20250138</t>
  </si>
  <si>
    <t xml:space="preserve">Timberline Mills </t>
  </si>
  <si>
    <t>07/08/2025</t>
  </si>
  <si>
    <t>$7,553.57</t>
  </si>
  <si>
    <t>INV 20250533</t>
  </si>
  <si>
    <t>IRONWOOD HARDWRE SUPPLY</t>
  </si>
  <si>
    <t>03/11/2025</t>
  </si>
  <si>
    <t>04/25/2025</t>
  </si>
  <si>
    <t>INV-20250406</t>
  </si>
  <si>
    <t>02/16/2025</t>
  </si>
  <si>
    <t>INV-20250489</t>
  </si>
  <si>
    <t>Mar 05 2025</t>
  </si>
  <si>
    <t xml:space="preserve"> 7,282.57 </t>
  </si>
  <si>
    <t>INV20250012</t>
  </si>
  <si>
    <t>2416.44</t>
  </si>
  <si>
    <t>Software</t>
  </si>
  <si>
    <t>INV-20250444</t>
  </si>
  <si>
    <t>Riverbend Fasteners Co.</t>
  </si>
  <si>
    <t>2025-05-04</t>
  </si>
  <si>
    <t>18-Jun-2025</t>
  </si>
  <si>
    <t>4258.71</t>
  </si>
  <si>
    <t>INV-20250283</t>
  </si>
  <si>
    <t>21-Jan-2025</t>
  </si>
  <si>
    <t>21550.65</t>
  </si>
  <si>
    <t>INV-20250175</t>
  </si>
  <si>
    <t>Pacific Freight Lines Inc.</t>
  </si>
  <si>
    <t>2025-01-22</t>
  </si>
  <si>
    <t>Feb 21 2025</t>
  </si>
  <si>
    <t>4137.94</t>
  </si>
  <si>
    <t>Freight</t>
  </si>
  <si>
    <t xml:space="preserve"> inv-20250203</t>
  </si>
  <si>
    <t>2025-03-09</t>
  </si>
  <si>
    <t>INV-20250408</t>
  </si>
  <si>
    <t>2025-01-23</t>
  </si>
  <si>
    <t>20250309</t>
  </si>
  <si>
    <t>INV-20250492</t>
  </si>
  <si>
    <t>09-Mar-2025</t>
  </si>
  <si>
    <t>$13,300.73</t>
  </si>
  <si>
    <t>INV-20250005</t>
  </si>
  <si>
    <t xml:space="preserve"> inv-20250077</t>
  </si>
  <si>
    <t>2025-03-10</t>
  </si>
  <si>
    <t>$24,215.93</t>
  </si>
  <si>
    <t>INV-20250194</t>
  </si>
  <si>
    <t>$17,040.87</t>
  </si>
  <si>
    <t>INV20250108</t>
  </si>
  <si>
    <t>Jan 26 2025</t>
  </si>
  <si>
    <t>Mar 12 2025</t>
  </si>
  <si>
    <t>45072.48</t>
  </si>
  <si>
    <t>INV-20250158</t>
  </si>
  <si>
    <t>01/26/2025</t>
  </si>
  <si>
    <t>INV-20250105</t>
  </si>
  <si>
    <t>Jan 27 2025</t>
  </si>
  <si>
    <t>03/13/2025</t>
  </si>
  <si>
    <t>40,725.74</t>
  </si>
  <si>
    <t>INV-20250280</t>
  </si>
  <si>
    <t>KELLER &amp; MOSS CPAS</t>
  </si>
  <si>
    <t>$10,180.61</t>
  </si>
  <si>
    <t>INV-20250361</t>
  </si>
  <si>
    <t>IRONWOOD HARDWARE SUPPLY</t>
  </si>
  <si>
    <t>2025-01-27</t>
  </si>
  <si>
    <t>$38,183.91</t>
  </si>
  <si>
    <t>INV-20250183</t>
  </si>
  <si>
    <t>2025-01-28</t>
  </si>
  <si>
    <t>2025-03-14</t>
  </si>
  <si>
    <t>INV-20250002</t>
  </si>
  <si>
    <t>20250130</t>
  </si>
  <si>
    <t>INV20250334</t>
  </si>
  <si>
    <t xml:space="preserve"> 2,359.94 </t>
  </si>
  <si>
    <t>INV-20250510</t>
  </si>
  <si>
    <t>USD 8,701.44</t>
  </si>
  <si>
    <t>Freight-In</t>
  </si>
  <si>
    <t>INV-20250285</t>
  </si>
  <si>
    <t>2025-01-31</t>
  </si>
  <si>
    <t>20250317</t>
  </si>
  <si>
    <t>$38,717.19</t>
  </si>
  <si>
    <t>INV-20250464</t>
  </si>
  <si>
    <t>2025-02-02</t>
  </si>
  <si>
    <t>2025-03-19</t>
  </si>
  <si>
    <t>USD 23,302.51</t>
  </si>
  <si>
    <t>INV-20250556</t>
  </si>
  <si>
    <t>21315.05</t>
  </si>
  <si>
    <t>INV-20250145</t>
  </si>
  <si>
    <t>2025-03-20</t>
  </si>
  <si>
    <t>$5,067.30</t>
  </si>
  <si>
    <t>INV-20250184</t>
  </si>
  <si>
    <t>Mar 20 2025</t>
  </si>
  <si>
    <t>$47,829.46</t>
  </si>
  <si>
    <t>INV-20250186</t>
  </si>
  <si>
    <t>INV-20250219</t>
  </si>
  <si>
    <t>$41,685.91</t>
  </si>
  <si>
    <t>INV-20250425</t>
  </si>
  <si>
    <t>28,727.59 usd</t>
  </si>
  <si>
    <t>INV-20250075</t>
  </si>
  <si>
    <t>2025-02-06</t>
  </si>
  <si>
    <t>2025-03-23</t>
  </si>
  <si>
    <t>USD 31,519.73</t>
  </si>
  <si>
    <t>INV-20250557</t>
  </si>
  <si>
    <t>$31,671.63</t>
  </si>
  <si>
    <t>INV-20250505</t>
  </si>
  <si>
    <t>07-Feb-2025</t>
  </si>
  <si>
    <t>Mar 24 2025</t>
  </si>
  <si>
    <t>INV-20250545</t>
  </si>
  <si>
    <t>02/07/2025</t>
  </si>
  <si>
    <t>3,111.08</t>
  </si>
  <si>
    <t>INV-20250112</t>
  </si>
  <si>
    <t>02/08/2025</t>
  </si>
  <si>
    <t>USD 2,583.77</t>
  </si>
  <si>
    <t>INV-20250491</t>
  </si>
  <si>
    <t>8094.45</t>
  </si>
  <si>
    <t>Mktg</t>
  </si>
  <si>
    <t>INV-20250097</t>
  </si>
  <si>
    <t>HARBOR LIGHT UTILITIES</t>
  </si>
  <si>
    <t>Feb 09 2025</t>
  </si>
  <si>
    <t>Feb 24 2025</t>
  </si>
  <si>
    <t>Utility</t>
  </si>
  <si>
    <t>INV20250104</t>
  </si>
  <si>
    <t>02/09/2025</t>
  </si>
  <si>
    <t>Mar 26 2025</t>
  </si>
  <si>
    <t>$19,871.21</t>
  </si>
  <si>
    <t>INV-20250018</t>
  </si>
  <si>
    <t>20250313</t>
  </si>
  <si>
    <t xml:space="preserve"> 5,078.68 </t>
  </si>
  <si>
    <t>INV-20250036</t>
  </si>
  <si>
    <t>INV-20250066</t>
  </si>
  <si>
    <t>2025-02-12</t>
  </si>
  <si>
    <t>30,759.81</t>
  </si>
  <si>
    <t>INV-20250451</t>
  </si>
  <si>
    <t>Northgate Marketing Group</t>
  </si>
  <si>
    <t xml:space="preserve"> 14,083.01 </t>
  </si>
  <si>
    <t>INV-20250062</t>
  </si>
  <si>
    <t>-967.95 usd</t>
  </si>
  <si>
    <t>INV-20250122</t>
  </si>
  <si>
    <t>Harbor Light Utilities Co.</t>
  </si>
  <si>
    <t>2025-02-13</t>
  </si>
  <si>
    <t>-971.41</t>
  </si>
  <si>
    <t>utilities</t>
  </si>
  <si>
    <t>INV-20250222</t>
  </si>
  <si>
    <t>USD 40,302.65</t>
  </si>
  <si>
    <t>INV-20250233</t>
  </si>
  <si>
    <t>2025-02-14</t>
  </si>
  <si>
    <t>03/31/2025</t>
  </si>
  <si>
    <t>22,573.72</t>
  </si>
  <si>
    <t>INV-20250514</t>
  </si>
  <si>
    <t>INV-20250552</t>
  </si>
  <si>
    <t>14-Feb-2025</t>
  </si>
  <si>
    <t>Mar 31 2025</t>
  </si>
  <si>
    <t>$41,094.52</t>
  </si>
  <si>
    <t>INV-20250003</t>
  </si>
  <si>
    <t>2025-02-16</t>
  </si>
  <si>
    <t>$5,363.48</t>
  </si>
  <si>
    <t>INV-20250031</t>
  </si>
  <si>
    <t>04/02/2025</t>
  </si>
  <si>
    <t>34,632.66 usd</t>
  </si>
  <si>
    <t>INV-20250080</t>
  </si>
  <si>
    <t>15623.42</t>
  </si>
  <si>
    <t>INV-20250114</t>
  </si>
  <si>
    <t>Keller &amp; Moss CPAs</t>
  </si>
  <si>
    <t>Feb 16 2025</t>
  </si>
  <si>
    <t>4852.52</t>
  </si>
  <si>
    <t>Professional Fees</t>
  </si>
  <si>
    <t>INV-20250348</t>
  </si>
  <si>
    <t>2739.40</t>
  </si>
  <si>
    <t>INV-20250453</t>
  </si>
  <si>
    <t>USD 32,358.30</t>
  </si>
  <si>
    <t>Past due</t>
  </si>
  <si>
    <t>INV20250497</t>
  </si>
  <si>
    <t>10,660.02 usd</t>
  </si>
  <si>
    <t>INV-20250332</t>
  </si>
  <si>
    <t>Harbor Light Utilities</t>
  </si>
  <si>
    <t>2025-02-19</t>
  </si>
  <si>
    <t>2025-03-06</t>
  </si>
  <si>
    <t>4,022.26</t>
  </si>
  <si>
    <t>Utilities</t>
  </si>
  <si>
    <t>INV-20250124</t>
  </si>
  <si>
    <t>02/20/2025</t>
  </si>
  <si>
    <t>7,095.48</t>
  </si>
  <si>
    <t>INV-20250252</t>
  </si>
  <si>
    <t>21-Feb-2025</t>
  </si>
  <si>
    <t xml:space="preserve"> 41,275.02 </t>
  </si>
  <si>
    <t>INV-20250522</t>
  </si>
  <si>
    <t>03/23/2025</t>
  </si>
  <si>
    <t>12658.10</t>
  </si>
  <si>
    <t>INV-20250477</t>
  </si>
  <si>
    <t>02/22/2025</t>
  </si>
  <si>
    <t>20250324</t>
  </si>
  <si>
    <t>9629.81</t>
  </si>
  <si>
    <t>INV-20250541</t>
  </si>
  <si>
    <t>$36,054.19</t>
  </si>
  <si>
    <t>INV-20250160</t>
  </si>
  <si>
    <t>USD 32,048.12</t>
  </si>
  <si>
    <t xml:space="preserve"> inv-20250132</t>
  </si>
  <si>
    <t>25-Feb-2025</t>
  </si>
  <si>
    <t>04/11/2025</t>
  </si>
  <si>
    <t xml:space="preserve"> 45,884.78 </t>
  </si>
  <si>
    <t>INV-20250358</t>
  </si>
  <si>
    <t>Feb 26 2025</t>
  </si>
  <si>
    <t>9369.64</t>
  </si>
  <si>
    <t>INV-20250396</t>
  </si>
  <si>
    <t>INV-20250217</t>
  </si>
  <si>
    <t>8,693.85</t>
  </si>
  <si>
    <t>INV-20250337</t>
  </si>
  <si>
    <t>Mar 30 2025</t>
  </si>
  <si>
    <t>$4,877.22</t>
  </si>
  <si>
    <t>INV-20250302</t>
  </si>
  <si>
    <t>04/15/2025</t>
  </si>
  <si>
    <t>INV-20250011</t>
  </si>
  <si>
    <t>03/02/2025</t>
  </si>
  <si>
    <t>20250416</t>
  </si>
  <si>
    <t>INV-20250177</t>
  </si>
  <si>
    <t>Apr 16 2025</t>
  </si>
  <si>
    <t>21152.81</t>
  </si>
  <si>
    <t>INV 20250014</t>
  </si>
  <si>
    <t>19-May-2025</t>
  </si>
  <si>
    <t>24860.33</t>
  </si>
  <si>
    <t>INV-20250446</t>
  </si>
  <si>
    <t>2025-04-16</t>
  </si>
  <si>
    <t xml:space="preserve"> inv-20250102</t>
  </si>
  <si>
    <t>(938.27)</t>
  </si>
  <si>
    <t>INV20250323</t>
  </si>
  <si>
    <t>Apr 17 2025</t>
  </si>
  <si>
    <t>INV-20250542</t>
  </si>
  <si>
    <t>Mar 03 2025</t>
  </si>
  <si>
    <t>INV-20250056</t>
  </si>
  <si>
    <t>04/18/2025</t>
  </si>
  <si>
    <t>43469.16</t>
  </si>
  <si>
    <t>INV20250153</t>
  </si>
  <si>
    <t>04-Mar-2025</t>
  </si>
  <si>
    <t>38309.03</t>
  </si>
  <si>
    <t>INV-20250235</t>
  </si>
  <si>
    <t>INV-20250440</t>
  </si>
  <si>
    <t>07-Mar-2025</t>
  </si>
  <si>
    <t>04/06/2025</t>
  </si>
  <si>
    <t xml:space="preserve"> 10,087.41 </t>
  </si>
  <si>
    <t>INV-20250047</t>
  </si>
  <si>
    <t>Mar 08 2025</t>
  </si>
  <si>
    <t>INV-20250169</t>
  </si>
  <si>
    <t>2025-03-08</t>
  </si>
  <si>
    <t>07-Apr-2025</t>
  </si>
  <si>
    <t>1,020.16 usd</t>
  </si>
  <si>
    <t>INV-20250099</t>
  </si>
  <si>
    <t>2025-04-23</t>
  </si>
  <si>
    <t>INV-20250371</t>
  </si>
  <si>
    <t>INV-20250420</t>
  </si>
  <si>
    <t>Mar 09 2025</t>
  </si>
  <si>
    <t xml:space="preserve"> 45,451.84 </t>
  </si>
  <si>
    <t>INV-20250199</t>
  </si>
  <si>
    <t>INV-20250533</t>
  </si>
  <si>
    <t>INV-20250161</t>
  </si>
  <si>
    <t>03/14/2025</t>
  </si>
  <si>
    <t>04/28/2025</t>
  </si>
  <si>
    <t>USD 5,943.33</t>
  </si>
  <si>
    <t>INV-20250495</t>
  </si>
  <si>
    <t>Mar 15 2025</t>
  </si>
  <si>
    <t>$15,997.34</t>
  </si>
  <si>
    <t>INV-20250517</t>
  </si>
  <si>
    <t>15-Mar-2025</t>
  </si>
  <si>
    <t>$5,188.81</t>
  </si>
  <si>
    <t>INV-20250550</t>
  </si>
  <si>
    <t>blueriver software</t>
  </si>
  <si>
    <t>20250330</t>
  </si>
  <si>
    <t>$2,275.81</t>
  </si>
  <si>
    <t>INV-20250359</t>
  </si>
  <si>
    <t>2025-03-17</t>
  </si>
  <si>
    <t>04/16/2025</t>
  </si>
  <si>
    <t>INV-20250407</t>
  </si>
  <si>
    <t>2025-04-09</t>
  </si>
  <si>
    <t>23792.89</t>
  </si>
  <si>
    <t>INV-20250083</t>
  </si>
  <si>
    <t>INV-20250383</t>
  </si>
  <si>
    <t>2025-05-02</t>
  </si>
  <si>
    <t>INV20250525</t>
  </si>
  <si>
    <t>20250318</t>
  </si>
  <si>
    <t>05/02/2025</t>
  </si>
  <si>
    <t>INV-20250001</t>
  </si>
  <si>
    <t>Mar 19 2025</t>
  </si>
  <si>
    <t>2025-05-03</t>
  </si>
  <si>
    <t>21372.23</t>
  </si>
  <si>
    <t>INV20250020</t>
  </si>
  <si>
    <t>1,572.18</t>
  </si>
  <si>
    <t>EUR</t>
  </si>
  <si>
    <t>INV-20250294</t>
  </si>
  <si>
    <t>03/19/2025</t>
  </si>
  <si>
    <t>USD 5,977.85</t>
  </si>
  <si>
    <t>INV-20250305</t>
  </si>
  <si>
    <t>30,450.04</t>
  </si>
  <si>
    <t>INV 20250246</t>
  </si>
  <si>
    <t>RIVERBEND FASTENERS CO</t>
  </si>
  <si>
    <t>12/01/2025</t>
  </si>
  <si>
    <t>01/15/2026</t>
  </si>
  <si>
    <t>USD 42,723.40</t>
  </si>
  <si>
    <t>Open</t>
  </si>
  <si>
    <t>INV20250537</t>
  </si>
  <si>
    <t>05/03/2025</t>
  </si>
  <si>
    <t>(1,107.19)</t>
  </si>
  <si>
    <t>INV20250293</t>
  </si>
  <si>
    <t>$24,919.73</t>
  </si>
  <si>
    <t>INV-20250379</t>
  </si>
  <si>
    <t>05/05/2025</t>
  </si>
  <si>
    <t>$22,337.08</t>
  </si>
  <si>
    <t xml:space="preserve"> inv-20250432</t>
  </si>
  <si>
    <t>Mar 21 2025</t>
  </si>
  <si>
    <t>-476.46</t>
  </si>
  <si>
    <t>INV-20250467</t>
  </si>
  <si>
    <t xml:space="preserve"> 46,872.24 </t>
  </si>
  <si>
    <t>INV-20250220</t>
  </si>
  <si>
    <t>12/07/2025</t>
  </si>
  <si>
    <t>06-Jan-2026</t>
  </si>
  <si>
    <t>$2,192.46</t>
  </si>
  <si>
    <t>INV-20250403</t>
  </si>
  <si>
    <t>May 06 2025</t>
  </si>
  <si>
    <t xml:space="preserve"> 26,810.65 </t>
  </si>
  <si>
    <t>INV-20250377</t>
  </si>
  <si>
    <t>28,249.66</t>
  </si>
  <si>
    <t>INV-20250418</t>
  </si>
  <si>
    <t>Apr 22 2025</t>
  </si>
  <si>
    <t>$3,880.13</t>
  </si>
  <si>
    <t>INV-20250490</t>
  </si>
  <si>
    <t>$13,240.25</t>
  </si>
  <si>
    <t>INV-20250171</t>
  </si>
  <si>
    <t>05/08/2025</t>
  </si>
  <si>
    <t>INV-20250534</t>
  </si>
  <si>
    <t>Apr 23 2025</t>
  </si>
  <si>
    <t xml:space="preserve"> inv-20250241</t>
  </si>
  <si>
    <t>05/10/2025</t>
  </si>
  <si>
    <t>Subtotal March</t>
  </si>
  <si>
    <t>$231,406.39</t>
  </si>
  <si>
    <t>INV-20250190</t>
  </si>
  <si>
    <t>38853.46</t>
  </si>
  <si>
    <t xml:space="preserve"> inv-20250212</t>
  </si>
  <si>
    <t>$15,456.22</t>
  </si>
  <si>
    <t>INV-20250237</t>
  </si>
  <si>
    <t>24378.91</t>
  </si>
  <si>
    <t>INV-20250456</t>
  </si>
  <si>
    <t>03/28/2025</t>
  </si>
  <si>
    <t>2025-05-12</t>
  </si>
  <si>
    <t>$8,495.79</t>
  </si>
  <si>
    <t>INV-20250538</t>
  </si>
  <si>
    <t>Mar 28 2025</t>
  </si>
  <si>
    <t>$24,437.08</t>
  </si>
  <si>
    <t>INV-20250395</t>
  </si>
  <si>
    <t>03/29/2025</t>
  </si>
  <si>
    <t>19,959.54 usd</t>
  </si>
  <si>
    <t>INV-20250409</t>
  </si>
  <si>
    <t>05/14/2025</t>
  </si>
  <si>
    <t>$17,850.91</t>
  </si>
  <si>
    <t>INV-20250345</t>
  </si>
  <si>
    <t>15-May-2025</t>
  </si>
  <si>
    <t>USD 13,065.40</t>
  </si>
  <si>
    <t>INV-20250357</t>
  </si>
  <si>
    <t>May 17 2025</t>
  </si>
  <si>
    <t>USD 5,987.51</t>
  </si>
  <si>
    <t>INV-20250247</t>
  </si>
  <si>
    <t>2025-04-03</t>
  </si>
  <si>
    <t>20250518</t>
  </si>
  <si>
    <t>32227.71</t>
  </si>
  <si>
    <t>INV-20250343</t>
  </si>
  <si>
    <t>May 18 2025</t>
  </si>
  <si>
    <t>$10,075.28</t>
  </si>
  <si>
    <t xml:space="preserve"> inv-20250021</t>
  </si>
  <si>
    <t>05/19/2025</t>
  </si>
  <si>
    <t xml:space="preserve"> -589.89 </t>
  </si>
  <si>
    <t>INV-20250189</t>
  </si>
  <si>
    <t>Apr 04 2025</t>
  </si>
  <si>
    <t xml:space="preserve"> inv-20250536</t>
  </si>
  <si>
    <t>$2,843.54</t>
  </si>
  <si>
    <t>INV-20250457</t>
  </si>
  <si>
    <t>Apr 05 2025</t>
  </si>
  <si>
    <t>05/20/2025</t>
  </si>
  <si>
    <t>INV-20250155</t>
  </si>
  <si>
    <t>2025-05-22</t>
  </si>
  <si>
    <t>$18,358.87</t>
  </si>
  <si>
    <t>INV20250136</t>
  </si>
  <si>
    <t>Apr 08 2025</t>
  </si>
  <si>
    <t>May 23 2025</t>
  </si>
  <si>
    <t>12,162.54</t>
  </si>
  <si>
    <t>INV-20250462</t>
  </si>
  <si>
    <t>08-May-2025</t>
  </si>
  <si>
    <t>5,883.27 usd</t>
  </si>
  <si>
    <t>INV-20250176</t>
  </si>
  <si>
    <t>04/09/2025</t>
  </si>
  <si>
    <t>$1,232.90</t>
  </si>
  <si>
    <t>INV-20250213</t>
  </si>
  <si>
    <t>42,727.25</t>
  </si>
  <si>
    <t>INV20250259</t>
  </si>
  <si>
    <t>$24,642.98</t>
  </si>
  <si>
    <t>INV-20250417</t>
  </si>
  <si>
    <t>05/26/2025</t>
  </si>
  <si>
    <t>INV-20250400</t>
  </si>
  <si>
    <t>Dec 20 2025</t>
  </si>
  <si>
    <t>2026-02-03</t>
  </si>
  <si>
    <t>28,329.02 usd</t>
  </si>
  <si>
    <t>INV-20250546</t>
  </si>
  <si>
    <t>2025-04-11</t>
  </si>
  <si>
    <t>INV-20250365</t>
  </si>
  <si>
    <t>Apr 13 2025</t>
  </si>
  <si>
    <t>-296.38 usd</t>
  </si>
  <si>
    <t>INV-20250509</t>
  </si>
  <si>
    <t>04/13/2025</t>
  </si>
  <si>
    <t>Apr 28 2025</t>
  </si>
  <si>
    <t>$3,942.81</t>
  </si>
  <si>
    <t>INV-20250152</t>
  </si>
  <si>
    <t>2025-08-24</t>
  </si>
  <si>
    <t>INV-20250069</t>
  </si>
  <si>
    <t xml:space="preserve"> 8,451.20 </t>
  </si>
  <si>
    <t>INV-20250373</t>
  </si>
  <si>
    <t>14-Apr-2025</t>
  </si>
  <si>
    <t>28137.26</t>
  </si>
  <si>
    <t xml:space="preserve"> inv-20250163</t>
  </si>
  <si>
    <t>2025-04-15</t>
  </si>
  <si>
    <t xml:space="preserve"> 5,384.53 </t>
  </si>
  <si>
    <t>INV-20250560</t>
  </si>
  <si>
    <t>05/15/2025</t>
  </si>
  <si>
    <t>10,675.85 usd</t>
  </si>
  <si>
    <t>INV-20250188</t>
  </si>
  <si>
    <t>$11,674.26</t>
  </si>
  <si>
    <t>INV-20250419</t>
  </si>
  <si>
    <t>2025-04-17</t>
  </si>
  <si>
    <t>17079.16</t>
  </si>
  <si>
    <t>INV-20250098</t>
  </si>
  <si>
    <t>2025-04-18</t>
  </si>
  <si>
    <t>$1,504.36</t>
  </si>
  <si>
    <t>INV-20250254</t>
  </si>
  <si>
    <t>Apr 18 2025</t>
  </si>
  <si>
    <t>$4,176.67</t>
  </si>
  <si>
    <t xml:space="preserve"> inv-20250535</t>
  </si>
  <si>
    <t>06/02/2025</t>
  </si>
  <si>
    <t>$41,459.26</t>
  </si>
  <si>
    <t>INV-20250044</t>
  </si>
  <si>
    <t>04/19/2025</t>
  </si>
  <si>
    <t>INV-20250319</t>
  </si>
  <si>
    <t>2025-06-04</t>
  </si>
  <si>
    <t>15,510.26</t>
  </si>
  <si>
    <t>INV-20250117</t>
  </si>
  <si>
    <t>Jun 05 2025</t>
  </si>
  <si>
    <t>8074.32</t>
  </si>
  <si>
    <t>INV-20250227</t>
  </si>
  <si>
    <t>INV-20250017</t>
  </si>
  <si>
    <t>04/22/2025</t>
  </si>
  <si>
    <t>06/06/2025</t>
  </si>
  <si>
    <t>37,802.25</t>
  </si>
  <si>
    <t>INV 20250449</t>
  </si>
  <si>
    <t>Dec 26 2025</t>
  </si>
  <si>
    <t>USD 17,592.33</t>
  </si>
  <si>
    <t>Pending</t>
  </si>
  <si>
    <t>INV-20250295</t>
  </si>
  <si>
    <t>INV-20250331</t>
  </si>
  <si>
    <t>USD 1,530.07</t>
  </si>
  <si>
    <t>INV-20250325</t>
  </si>
  <si>
    <t>04/24/2025</t>
  </si>
  <si>
    <t>20250524</t>
  </si>
  <si>
    <t>$2,294.20</t>
  </si>
  <si>
    <t>INV-20250257</t>
  </si>
  <si>
    <t>20250425</t>
  </si>
  <si>
    <t>06/09/2025</t>
  </si>
  <si>
    <t>INV-20250354</t>
  </si>
  <si>
    <t>$31,239.48</t>
  </si>
  <si>
    <t>INV-20250100</t>
  </si>
  <si>
    <t>04/29/2025</t>
  </si>
  <si>
    <t>2025-06-13</t>
  </si>
  <si>
    <t>INV-20250157</t>
  </si>
  <si>
    <t>2025-04-29</t>
  </si>
  <si>
    <t>29-May-2025</t>
  </si>
  <si>
    <t>USD 15,528.62</t>
  </si>
  <si>
    <t>INV-20250479</t>
  </si>
  <si>
    <t>2025-06-16</t>
  </si>
  <si>
    <t>6077.77</t>
  </si>
  <si>
    <t>INV-20250033</t>
  </si>
  <si>
    <t>May 03 2025</t>
  </si>
  <si>
    <t>Jun 02 2025</t>
  </si>
  <si>
    <t xml:space="preserve"> 7,528.50 </t>
  </si>
  <si>
    <t>INV-20250111</t>
  </si>
  <si>
    <t>Jun 17 2025</t>
  </si>
  <si>
    <t>$17,236.80</t>
  </si>
  <si>
    <t>INV-20250531</t>
  </si>
  <si>
    <t>BlueRiver Software LLC</t>
  </si>
  <si>
    <t>May 04 2025</t>
  </si>
  <si>
    <t>$809.04</t>
  </si>
  <si>
    <t>INV-20250388</t>
  </si>
  <si>
    <t>06/19/2025</t>
  </si>
  <si>
    <t>INV-20250149</t>
  </si>
  <si>
    <t>2025-05-07</t>
  </si>
  <si>
    <t>20250606</t>
  </si>
  <si>
    <t>$4,202.83</t>
  </si>
  <si>
    <t>INV-20250221</t>
  </si>
  <si>
    <t>05/07/2025</t>
  </si>
  <si>
    <t>21-Jun-2025</t>
  </si>
  <si>
    <t>$13,051.83</t>
  </si>
  <si>
    <t>INV-20250273</t>
  </si>
  <si>
    <t>Jun 06 2025</t>
  </si>
  <si>
    <t>10,221.72 eur</t>
  </si>
  <si>
    <t>eur</t>
  </si>
  <si>
    <t>INV-20250316</t>
  </si>
  <si>
    <t xml:space="preserve"> 5,962.16 </t>
  </si>
  <si>
    <t>INV20250349</t>
  </si>
  <si>
    <t>2025-05-08</t>
  </si>
  <si>
    <t>Jun 22 2025</t>
  </si>
  <si>
    <t xml:space="preserve"> inv-20250442</t>
  </si>
  <si>
    <t>2025-06-22</t>
  </si>
  <si>
    <t xml:space="preserve"> 46,398.70 </t>
  </si>
  <si>
    <t>INV-20250146</t>
  </si>
  <si>
    <t>05/09/2025</t>
  </si>
  <si>
    <t>$44,195.93</t>
  </si>
  <si>
    <t>INV-20250057</t>
  </si>
  <si>
    <t>10-May-2025</t>
  </si>
  <si>
    <t>24-Jun-2025</t>
  </si>
  <si>
    <t>42,844.64 usd</t>
  </si>
  <si>
    <t>INV-20250090</t>
  </si>
  <si>
    <t>15,042.89</t>
  </si>
  <si>
    <t>INV-20250458</t>
  </si>
  <si>
    <t>2025-05-10</t>
  </si>
  <si>
    <t>Jun 24 2025</t>
  </si>
  <si>
    <t>USD 14,532.71</t>
  </si>
  <si>
    <t>INV-20250329</t>
  </si>
  <si>
    <t xml:space="preserve"> inv-20250045</t>
  </si>
  <si>
    <t>05/13/2025</t>
  </si>
  <si>
    <t>06/27/2025</t>
  </si>
  <si>
    <t>INV-20250310</t>
  </si>
  <si>
    <t>Sep 06 2025</t>
  </si>
  <si>
    <t>06-Oct-2025</t>
  </si>
  <si>
    <t>USD 9,872.58</t>
  </si>
  <si>
    <t>INV20250154</t>
  </si>
  <si>
    <t>2025-05-14</t>
  </si>
  <si>
    <t>USD 12,764.36</t>
  </si>
  <si>
    <t>INV20250441</t>
  </si>
  <si>
    <t>13-Jun-2025</t>
  </si>
  <si>
    <t>INV-20250558</t>
  </si>
  <si>
    <t>06/29/2025</t>
  </si>
  <si>
    <t xml:space="preserve"> inv-20250210</t>
  </si>
  <si>
    <t>20250517</t>
  </si>
  <si>
    <t>07/01/2025</t>
  </si>
  <si>
    <t>USD 31,978.10</t>
  </si>
  <si>
    <t>INV20250262</t>
  </si>
  <si>
    <t>INV-20250335</t>
  </si>
  <si>
    <t>2025-05-17</t>
  </si>
  <si>
    <t>USD 22,403.57</t>
  </si>
  <si>
    <t>INV-20250370</t>
  </si>
  <si>
    <t>$3,809.35</t>
  </si>
  <si>
    <t>INV-20250381</t>
  </si>
  <si>
    <t>2025-05-18</t>
  </si>
  <si>
    <t>2025-06-17</t>
  </si>
  <si>
    <t>14,666.61</t>
  </si>
  <si>
    <t>INV-20250488</t>
  </si>
  <si>
    <t>05/18/2025</t>
  </si>
  <si>
    <t>2025-07-02</t>
  </si>
  <si>
    <t>(509.49)</t>
  </si>
  <si>
    <t>INV-20250014</t>
  </si>
  <si>
    <t>INV-20250165</t>
  </si>
  <si>
    <t>INV-20250281</t>
  </si>
  <si>
    <t>16,030.95 usd</t>
  </si>
  <si>
    <t>INV-20250187</t>
  </si>
  <si>
    <t>20250521</t>
  </si>
  <si>
    <t>INV-20250380</t>
  </si>
  <si>
    <t>2025-07-06</t>
  </si>
  <si>
    <t>40,132.52</t>
  </si>
  <si>
    <t>INV-20250428</t>
  </si>
  <si>
    <t>INV-20250416</t>
  </si>
  <si>
    <t>05/23/2025</t>
  </si>
  <si>
    <t>2025-07-07</t>
  </si>
  <si>
    <t>33,228.07 usd</t>
  </si>
  <si>
    <t>INV-20250110</t>
  </si>
  <si>
    <t>May 25 2025</t>
  </si>
  <si>
    <t>07/09/2025</t>
  </si>
  <si>
    <t>INV-20250224</t>
  </si>
  <si>
    <t>Jul 09 2025</t>
  </si>
  <si>
    <t>INV-20250498</t>
  </si>
  <si>
    <t>2025-05-25</t>
  </si>
  <si>
    <t>$38,893.85</t>
  </si>
  <si>
    <t>INV-20250342</t>
  </si>
  <si>
    <t>2025-05-27</t>
  </si>
  <si>
    <t>2025-06-26</t>
  </si>
  <si>
    <t>INV-20250092</t>
  </si>
  <si>
    <t>12-Jul-2025</t>
  </si>
  <si>
    <t>37746.68</t>
  </si>
  <si>
    <t>INV-20250185</t>
  </si>
  <si>
    <t>2025-05-28</t>
  </si>
  <si>
    <t>INV-20250308</t>
  </si>
  <si>
    <t>May 28 2025</t>
  </si>
  <si>
    <t>20250712</t>
  </si>
  <si>
    <t>$40,662.16</t>
  </si>
  <si>
    <t>INV-20250369</t>
  </si>
  <si>
    <t>8973.93</t>
  </si>
  <si>
    <t>INV-20250061</t>
  </si>
  <si>
    <t>2025-06-01</t>
  </si>
  <si>
    <t>INV20250211</t>
  </si>
  <si>
    <t>INV-20250244</t>
  </si>
  <si>
    <t>01-Jun-2025</t>
  </si>
  <si>
    <t>2025-07-16</t>
  </si>
  <si>
    <t>INV-20250455</t>
  </si>
  <si>
    <t>20250601</t>
  </si>
  <si>
    <t>20250716</t>
  </si>
  <si>
    <t>$20,187.06</t>
  </si>
  <si>
    <t>INV-20250242</t>
  </si>
  <si>
    <t>USD 23,136.61</t>
  </si>
  <si>
    <t>INV-20250328</t>
  </si>
  <si>
    <t>2025-07-17</t>
  </si>
  <si>
    <t>29950.57</t>
  </si>
  <si>
    <t>INV-20250009</t>
  </si>
  <si>
    <t>2025-07-18</t>
  </si>
  <si>
    <t>14,930.77</t>
  </si>
  <si>
    <t>INV-20250081</t>
  </si>
  <si>
    <t>$17,386.76</t>
  </si>
  <si>
    <t>INV-20250284</t>
  </si>
  <si>
    <t>INV-20250445</t>
  </si>
  <si>
    <t>20250603</t>
  </si>
  <si>
    <t>07/18/2025</t>
  </si>
  <si>
    <t>USD 9,869.56</t>
  </si>
  <si>
    <t>INV-20250460</t>
  </si>
  <si>
    <t>$5,781.26</t>
  </si>
  <si>
    <t>INV-20250480</t>
  </si>
  <si>
    <t>2025-06-03</t>
  </si>
  <si>
    <t>INV-20250172</t>
  </si>
  <si>
    <t>06/04/2025</t>
  </si>
  <si>
    <t>2025-07-04</t>
  </si>
  <si>
    <t>INV-20250504</t>
  </si>
  <si>
    <t>2025-07-19</t>
  </si>
  <si>
    <t>35,673.55 usd</t>
  </si>
  <si>
    <t>INV-20250123</t>
  </si>
  <si>
    <t>INV-20250147</t>
  </si>
  <si>
    <t>05-Jun-2025</t>
  </si>
  <si>
    <t>$40,201.23</t>
  </si>
  <si>
    <t>INV-20250198</t>
  </si>
  <si>
    <t>06/05/2025</t>
  </si>
  <si>
    <t>8679.96</t>
  </si>
  <si>
    <t>INV-20250265</t>
  </si>
  <si>
    <t>$41,595.60</t>
  </si>
  <si>
    <t>INV-20250499</t>
  </si>
  <si>
    <t>2025-06-05</t>
  </si>
  <si>
    <t>2025-07-20</t>
  </si>
  <si>
    <t>INV-20250006</t>
  </si>
  <si>
    <t>Jul 22 2025</t>
  </si>
  <si>
    <t>INV-20250346</t>
  </si>
  <si>
    <t>2025-06-07</t>
  </si>
  <si>
    <t>INV20250206</t>
  </si>
  <si>
    <t>06/08/2025</t>
  </si>
  <si>
    <t>INV20250289</t>
  </si>
  <si>
    <t>20250723</t>
  </si>
  <si>
    <t>28732.46</t>
  </si>
  <si>
    <t xml:space="preserve"> inv-20250311</t>
  </si>
  <si>
    <t>2025-06-08</t>
  </si>
  <si>
    <t>5,815.88 usd</t>
  </si>
  <si>
    <t>INV-20250118</t>
  </si>
  <si>
    <t>Blue River Software</t>
  </si>
  <si>
    <t>06/24/2025</t>
  </si>
  <si>
    <t xml:space="preserve"> 2,167.10 </t>
  </si>
  <si>
    <t>INV-20250131</t>
  </si>
  <si>
    <t>20250609</t>
  </si>
  <si>
    <t>7103.44</t>
  </si>
  <si>
    <t>INV-20250300</t>
  </si>
  <si>
    <t>07/24/2025</t>
  </si>
  <si>
    <t>USD 36,095.44</t>
  </si>
  <si>
    <t>INV-20250426</t>
  </si>
  <si>
    <t>24-Jul-2025</t>
  </si>
  <si>
    <t>USD 7,869.37</t>
  </si>
  <si>
    <t>INV-20250443</t>
  </si>
  <si>
    <t>2025-07-24</t>
  </si>
  <si>
    <t xml:space="preserve"> 10,036.38 </t>
  </si>
  <si>
    <t>INV-20250301</t>
  </si>
  <si>
    <t>2025-06-11</t>
  </si>
  <si>
    <t>07/26/2025</t>
  </si>
  <si>
    <t>20172.89</t>
  </si>
  <si>
    <t>INV-20250436</t>
  </si>
  <si>
    <t>Jun 13 2025</t>
  </si>
  <si>
    <t>2025-07-28</t>
  </si>
  <si>
    <t>USD 13,246.12</t>
  </si>
  <si>
    <t>INV-20250314</t>
  </si>
  <si>
    <t>07/14/2025</t>
  </si>
  <si>
    <t>$9,887.09</t>
  </si>
  <si>
    <t>INV-20250333</t>
  </si>
  <si>
    <t>2025-06-15</t>
  </si>
  <si>
    <t>2025-07-30</t>
  </si>
  <si>
    <t xml:space="preserve"> 40,214.68 </t>
  </si>
  <si>
    <t>INV-20250501</t>
  </si>
  <si>
    <t xml:space="preserve"> 42,881.15 </t>
  </si>
  <si>
    <t>INV-20250363</t>
  </si>
  <si>
    <t>20250616</t>
  </si>
  <si>
    <t>$26,764.48</t>
  </si>
  <si>
    <t>INV-20250376</t>
  </si>
  <si>
    <t>INV20250547</t>
  </si>
  <si>
    <t>Jul 31 2025</t>
  </si>
  <si>
    <t>USD 34,278.35</t>
  </si>
  <si>
    <t>INV-20250484</t>
  </si>
  <si>
    <t>20250717</t>
  </si>
  <si>
    <t>professional fees</t>
  </si>
  <si>
    <t>INV-20250093</t>
  </si>
  <si>
    <t>03-Aug-2025</t>
  </si>
  <si>
    <t>15173.37</t>
  </si>
  <si>
    <t>INV20250282</t>
  </si>
  <si>
    <t>INV20250519</t>
  </si>
  <si>
    <t>20250619</t>
  </si>
  <si>
    <t>14120.14</t>
  </si>
  <si>
    <t>INV-20250209</t>
  </si>
  <si>
    <t>INV-20250336</t>
  </si>
  <si>
    <t>USD 39,382.35</t>
  </si>
  <si>
    <t>INV-20250060</t>
  </si>
  <si>
    <t>20250623</t>
  </si>
  <si>
    <t>USD 28,378.21</t>
  </si>
  <si>
    <t>INV20250067</t>
  </si>
  <si>
    <t>2025-06-23</t>
  </si>
  <si>
    <t>47,749.46 usd</t>
  </si>
  <si>
    <t>INV-20250013</t>
  </si>
  <si>
    <t>08/08/2025</t>
  </si>
  <si>
    <t>INV-20250025</t>
  </si>
  <si>
    <t>INV20250511</t>
  </si>
  <si>
    <t>INV-20250035</t>
  </si>
  <si>
    <t>Aug 10 2025</t>
  </si>
  <si>
    <t>$23,678.02</t>
  </si>
  <si>
    <t>INV-20250016</t>
  </si>
  <si>
    <t>Subtotal June</t>
  </si>
  <si>
    <t>$189,688.62</t>
  </si>
  <si>
    <t>INV-20250027</t>
  </si>
  <si>
    <t>20250811</t>
  </si>
  <si>
    <t>30500.28</t>
  </si>
  <si>
    <t>INV-20250230</t>
  </si>
  <si>
    <t>2025-06-27</t>
  </si>
  <si>
    <t xml:space="preserve"> 46,117.09 </t>
  </si>
  <si>
    <t>INV-20250434</t>
  </si>
  <si>
    <t>2025-06-28</t>
  </si>
  <si>
    <t>INV-20250502</t>
  </si>
  <si>
    <t>2121.56</t>
  </si>
  <si>
    <t>INV-20250500</t>
  </si>
  <si>
    <t>29-Jun-2025</t>
  </si>
  <si>
    <t>20250729</t>
  </si>
  <si>
    <t>7,970.18 usd</t>
  </si>
  <si>
    <t>INV-20250506</t>
  </si>
  <si>
    <t>Aug 14 2025</t>
  </si>
  <si>
    <t>INV-20250313</t>
  </si>
  <si>
    <t>Keller &amp; Moss CPA's</t>
  </si>
  <si>
    <t>$9,607.75</t>
  </si>
  <si>
    <t>INV-20250485</t>
  </si>
  <si>
    <t>08/15/2025</t>
  </si>
  <si>
    <t>12498.51</t>
  </si>
  <si>
    <t>INV-20250544</t>
  </si>
  <si>
    <t>20250701</t>
  </si>
  <si>
    <t>07/31/2025</t>
  </si>
  <si>
    <t>15,513.39 usd</t>
  </si>
  <si>
    <t>INV-20250255</t>
  </si>
  <si>
    <t>02-Jul-2025</t>
  </si>
  <si>
    <t>2025-08-16</t>
  </si>
  <si>
    <t>$32,053.03</t>
  </si>
  <si>
    <t>INV-20250351</t>
  </si>
  <si>
    <t>$35,441.96</t>
  </si>
  <si>
    <t xml:space="preserve"> inv-20250483</t>
  </si>
  <si>
    <t>20250702</t>
  </si>
  <si>
    <t>INV-20250087</t>
  </si>
  <si>
    <t>08/18/2025</t>
  </si>
  <si>
    <t xml:space="preserve"> 46,218.71 </t>
  </si>
  <si>
    <t>INV-20250448</t>
  </si>
  <si>
    <t>07/04/2025</t>
  </si>
  <si>
    <t>2025-08-18</t>
  </si>
  <si>
    <t>25410.78</t>
  </si>
  <si>
    <t>INV-20250030</t>
  </si>
  <si>
    <t>05-Jul-2025</t>
  </si>
  <si>
    <t xml:space="preserve"> 4,772.34 </t>
  </si>
  <si>
    <t>INV20250450</t>
  </si>
  <si>
    <t>INV-20250521</t>
  </si>
  <si>
    <t>2025-08-19</t>
  </si>
  <si>
    <t>27026.18</t>
  </si>
  <si>
    <t>INV-20250007</t>
  </si>
  <si>
    <t>07/10/2025</t>
  </si>
  <si>
    <t>2025-08-09</t>
  </si>
  <si>
    <t>$1,689.19</t>
  </si>
  <si>
    <t>INV-20250142</t>
  </si>
  <si>
    <t>07/12/2025</t>
  </si>
  <si>
    <t>08/26/2025</t>
  </si>
  <si>
    <t>USD 5,533.59</t>
  </si>
  <si>
    <t>INV 20250532</t>
  </si>
  <si>
    <t>Sep 13 2025</t>
  </si>
  <si>
    <t>INV-20250137</t>
  </si>
  <si>
    <t>20250713</t>
  </si>
  <si>
    <t>2025-08-27</t>
  </si>
  <si>
    <t xml:space="preserve"> 40,921.59 </t>
  </si>
  <si>
    <t>INV-20250321</t>
  </si>
  <si>
    <t>13-Jul-2025</t>
  </si>
  <si>
    <t>08/12/2025</t>
  </si>
  <si>
    <t>1577.62</t>
  </si>
  <si>
    <t>INV-20250387</t>
  </si>
  <si>
    <t>08/27/2025</t>
  </si>
  <si>
    <t>$29,589.62</t>
  </si>
  <si>
    <t>INV-20250465</t>
  </si>
  <si>
    <t>INV-20250139</t>
  </si>
  <si>
    <t>Jul 14 2025</t>
  </si>
  <si>
    <t>2025-08-13</t>
  </si>
  <si>
    <t>3788.70</t>
  </si>
  <si>
    <t>INV-20250386</t>
  </si>
  <si>
    <t>USD 9,382.48</t>
  </si>
  <si>
    <t>INV-20250555</t>
  </si>
  <si>
    <t>Aug 13 2025</t>
  </si>
  <si>
    <t>USD 3,961.56</t>
  </si>
  <si>
    <t>INV-20250076</t>
  </si>
  <si>
    <t>USD 42,303.66</t>
  </si>
  <si>
    <t xml:space="preserve"> inv-20250079</t>
  </si>
  <si>
    <t>15-Jul-2025</t>
  </si>
  <si>
    <t>2025-08-29</t>
  </si>
  <si>
    <t>7,691.18 usd</t>
  </si>
  <si>
    <t>INV-20250352</t>
  </si>
  <si>
    <t>08/29/2025</t>
  </si>
  <si>
    <t>USD 29,357.72</t>
  </si>
  <si>
    <t>INV-20250414</t>
  </si>
  <si>
    <t>07/17/2025</t>
  </si>
  <si>
    <t>08/16/2025</t>
  </si>
  <si>
    <t>5,026.74</t>
  </si>
  <si>
    <t xml:space="preserve"> inv-20250243</t>
  </si>
  <si>
    <t>Jul 18 2025</t>
  </si>
  <si>
    <t>-1047.04</t>
  </si>
  <si>
    <t>INV-20250306</t>
  </si>
  <si>
    <t>Sep 01 2025</t>
  </si>
  <si>
    <t>$34,132.17</t>
  </si>
  <si>
    <t>INV-20250378</t>
  </si>
  <si>
    <t xml:space="preserve"> 15,432.12 </t>
  </si>
  <si>
    <t>INV-20250493</t>
  </si>
  <si>
    <t>INV-20250391</t>
  </si>
  <si>
    <t>20250719</t>
  </si>
  <si>
    <t>INV-20250216</t>
  </si>
  <si>
    <t>Aug 19 2025</t>
  </si>
  <si>
    <t>5,943.24 usd</t>
  </si>
  <si>
    <t>INV-20250437</t>
  </si>
  <si>
    <t>07/21/2025</t>
  </si>
  <si>
    <t>04-Sep-2025</t>
  </si>
  <si>
    <t>USD 47,916.82</t>
  </si>
  <si>
    <t>INV-20250375</t>
  </si>
  <si>
    <t>USD 4,522.64</t>
  </si>
  <si>
    <t>INV-20250539</t>
  </si>
  <si>
    <t>07/23/2025</t>
  </si>
  <si>
    <t>$42,805.86</t>
  </si>
  <si>
    <t>INV-20250201</t>
  </si>
  <si>
    <t>Jul 25 2025</t>
  </si>
  <si>
    <t>$39,709.10</t>
  </si>
  <si>
    <t>INV-20250523</t>
  </si>
  <si>
    <t>08/24/2025</t>
  </si>
  <si>
    <t>INV-20250059</t>
  </si>
  <si>
    <t>USD 7,756.30</t>
  </si>
  <si>
    <t>INV20250427</t>
  </si>
  <si>
    <t>41151.98</t>
  </si>
  <si>
    <t>INV-20250459</t>
  </si>
  <si>
    <t>Jul 26 2025</t>
  </si>
  <si>
    <t xml:space="preserve"> 43,828.61 </t>
  </si>
  <si>
    <t>INV-20250127</t>
  </si>
  <si>
    <t>20250913</t>
  </si>
  <si>
    <t>INV-20250548</t>
  </si>
  <si>
    <t>2025-09-13</t>
  </si>
  <si>
    <t>INV-20250115</t>
  </si>
  <si>
    <t>09/14/2025</t>
  </si>
  <si>
    <t>$20,844.87</t>
  </si>
  <si>
    <t>INV-20250398</t>
  </si>
  <si>
    <t>2025-07-31</t>
  </si>
  <si>
    <t>2025-08-30</t>
  </si>
  <si>
    <t>2,377.52 usd</t>
  </si>
  <si>
    <t>INV-20250340</t>
  </si>
  <si>
    <t>2025-09-15</t>
  </si>
  <si>
    <t>$43,432.78</t>
  </si>
  <si>
    <t>INV-20250248</t>
  </si>
  <si>
    <t xml:space="preserve"> 14,665.43 </t>
  </si>
  <si>
    <t>INV-20250256</t>
  </si>
  <si>
    <t>08/03/2025</t>
  </si>
  <si>
    <t>44,279.17</t>
  </si>
  <si>
    <t>INV-20250275</t>
  </si>
  <si>
    <t>$2,499.89</t>
  </si>
  <si>
    <t>INV-20250151</t>
  </si>
  <si>
    <t>Sep 18 2025</t>
  </si>
  <si>
    <t>$25,932.91</t>
  </si>
  <si>
    <t>INV-20250178</t>
  </si>
  <si>
    <t>08/04/2025</t>
  </si>
  <si>
    <t>2025-09-18</t>
  </si>
  <si>
    <t>17561.31</t>
  </si>
  <si>
    <t>INV-20250288</t>
  </si>
  <si>
    <t>38079.54</t>
  </si>
  <si>
    <t>INV-20250397</t>
  </si>
  <si>
    <t>USD 12,282.07</t>
  </si>
  <si>
    <t>INV-20250129</t>
  </si>
  <si>
    <t>2025-10-10</t>
  </si>
  <si>
    <t>USD 1,176.19</t>
  </si>
  <si>
    <t>INV-20250168</t>
  </si>
  <si>
    <t>2025-08-05</t>
  </si>
  <si>
    <t>09/04/2025</t>
  </si>
  <si>
    <t>1819.67</t>
  </si>
  <si>
    <t>INV-20250065</t>
  </si>
  <si>
    <t>2025-08-06</t>
  </si>
  <si>
    <t>05-Sep-2025</t>
  </si>
  <si>
    <t>$8,151.81</t>
  </si>
  <si>
    <t>INV-20250438</t>
  </si>
  <si>
    <t>Aug 06 2025</t>
  </si>
  <si>
    <t>09/20/2025</t>
  </si>
  <si>
    <t xml:space="preserve"> 23,472.51 </t>
  </si>
  <si>
    <t xml:space="preserve"> inv-20250463</t>
  </si>
  <si>
    <t>$4,719.01</t>
  </si>
  <si>
    <t>INV-20250150</t>
  </si>
  <si>
    <t xml:space="preserve"> inv-20250181</t>
  </si>
  <si>
    <t>08/09/2025</t>
  </si>
  <si>
    <t>09/23/2025</t>
  </si>
  <si>
    <t>20,074.62 usd</t>
  </si>
  <si>
    <t>INV 20250396</t>
  </si>
  <si>
    <t>PACIFIC FREIGHT LINES, INC.</t>
  </si>
  <si>
    <t>INV-20250245</t>
  </si>
  <si>
    <t>09-Aug-2025</t>
  </si>
  <si>
    <t xml:space="preserve"> 6,579.41 </t>
  </si>
  <si>
    <t>INV-20250339</t>
  </si>
  <si>
    <t>INV-20250039</t>
  </si>
  <si>
    <t>2025-08-11</t>
  </si>
  <si>
    <t>09/10/2025</t>
  </si>
  <si>
    <t>USD 7,292.00</t>
  </si>
  <si>
    <t>INV-20250106</t>
  </si>
  <si>
    <t>USD 26,482.37</t>
  </si>
  <si>
    <t>INV-20250226</t>
  </si>
  <si>
    <t>09/26/2025</t>
  </si>
  <si>
    <t>$26,819.38</t>
  </si>
  <si>
    <t>INV-20250179</t>
  </si>
  <si>
    <t>09/12/2025</t>
  </si>
  <si>
    <t xml:space="preserve"> inv-20250394</t>
  </si>
  <si>
    <t>2025-08-14</t>
  </si>
  <si>
    <t>$37,762.43</t>
  </si>
  <si>
    <t>INV-20250055</t>
  </si>
  <si>
    <t>09/29/2025</t>
  </si>
  <si>
    <t>INV-20250461</t>
  </si>
  <si>
    <t>32017.26</t>
  </si>
  <si>
    <t>INV-20250072</t>
  </si>
  <si>
    <t>2025-08-17</t>
  </si>
  <si>
    <t>09/16/2025</t>
  </si>
  <si>
    <t>INV-20250292</t>
  </si>
  <si>
    <t xml:space="preserve"> inv-20250353</t>
  </si>
  <si>
    <t>Sep 16 2025</t>
  </si>
  <si>
    <t>INV-20250503</t>
  </si>
  <si>
    <t>2025-10-01</t>
  </si>
  <si>
    <t>21427.26</t>
  </si>
  <si>
    <t>INV-20250113</t>
  </si>
  <si>
    <t>19-Aug-2025</t>
  </si>
  <si>
    <t>10/03/2025</t>
  </si>
  <si>
    <t>22806.61</t>
  </si>
  <si>
    <t>INV-20250296</t>
  </si>
  <si>
    <t>20250918</t>
  </si>
  <si>
    <t>$6,841.82</t>
  </si>
  <si>
    <t>INV-20250191</t>
  </si>
  <si>
    <t>2025-10-04</t>
  </si>
  <si>
    <t xml:space="preserve"> 28,427.93 </t>
  </si>
  <si>
    <t>INV-20250208</t>
  </si>
  <si>
    <t>2025-08-20</t>
  </si>
  <si>
    <t>04-Oct-2025</t>
  </si>
  <si>
    <t>11717.24</t>
  </si>
  <si>
    <t>INV-20250268</t>
  </si>
  <si>
    <t>INV-20250303</t>
  </si>
  <si>
    <t>08/20/2025</t>
  </si>
  <si>
    <t>10/04/2025</t>
  </si>
  <si>
    <t>INV-20250384</t>
  </si>
  <si>
    <t>Aug 20 2025</t>
  </si>
  <si>
    <t>20251004</t>
  </si>
  <si>
    <t>INV-20250180</t>
  </si>
  <si>
    <t>23-Aug-2025</t>
  </si>
  <si>
    <t>10/07/2025</t>
  </si>
  <si>
    <t>USD 40,807.99</t>
  </si>
  <si>
    <t>INV-20250148</t>
  </si>
  <si>
    <t>10/08/2025</t>
  </si>
  <si>
    <t>INV-20250238</t>
  </si>
  <si>
    <t>USD 32,278.84</t>
  </si>
  <si>
    <t>INV-20250258</t>
  </si>
  <si>
    <t>2025-08-25</t>
  </si>
  <si>
    <t>Oct 09 2025</t>
  </si>
  <si>
    <t xml:space="preserve"> 13,328.56 </t>
  </si>
  <si>
    <t>INV-20250447</t>
  </si>
  <si>
    <t>2025-10-09</t>
  </si>
  <si>
    <t>40,937.38</t>
  </si>
  <si>
    <t>INV-20250040</t>
  </si>
  <si>
    <t>21,661.02</t>
  </si>
  <si>
    <t>INV-20250317</t>
  </si>
  <si>
    <t>2025-08-26</t>
  </si>
  <si>
    <t>10/10/2025</t>
  </si>
  <si>
    <t>38,643.29</t>
  </si>
  <si>
    <t>INV-20250515</t>
  </si>
  <si>
    <t>-482.74</t>
  </si>
  <si>
    <t xml:space="preserve"> inv-20250120</t>
  </si>
  <si>
    <t>08/28/2025</t>
  </si>
  <si>
    <t>INV-20250274</t>
  </si>
  <si>
    <t>28-Aug-2025</t>
  </si>
  <si>
    <t>2025-10-12</t>
  </si>
  <si>
    <t>INV-20250374</t>
  </si>
  <si>
    <t>09/28/2025</t>
  </si>
  <si>
    <t>-500.35</t>
  </si>
  <si>
    <t>INV-20250466</t>
  </si>
  <si>
    <t>2025-09-28</t>
  </si>
  <si>
    <t>$1,588.84</t>
  </si>
  <si>
    <t>INV-20250042</t>
  </si>
  <si>
    <t>08/31/2025</t>
  </si>
  <si>
    <t>INV-20250119</t>
  </si>
  <si>
    <t>10/15/2025</t>
  </si>
  <si>
    <t>46,604.38</t>
  </si>
  <si>
    <t>INV-20250141</t>
  </si>
  <si>
    <t>Aug 31 2025</t>
  </si>
  <si>
    <t>2025-10-15</t>
  </si>
  <si>
    <t>$5,332.41</t>
  </si>
  <si>
    <t>INV-20250272</t>
  </si>
  <si>
    <t>INV20250028</t>
  </si>
  <si>
    <t>USD 2,961.20</t>
  </si>
  <si>
    <t>INV-20250029</t>
  </si>
  <si>
    <t>10/18/2025</t>
  </si>
  <si>
    <t xml:space="preserve"> 40,469.64 </t>
  </si>
  <si>
    <t>INV-20250264</t>
  </si>
  <si>
    <t>09/03/2025</t>
  </si>
  <si>
    <t>USD 25,336.45</t>
  </si>
  <si>
    <t>INV-20250094</t>
  </si>
  <si>
    <t>6669.08</t>
  </si>
  <si>
    <t>INV-20250469</t>
  </si>
  <si>
    <t>2025-10-19</t>
  </si>
  <si>
    <t>$32,885.89</t>
  </si>
  <si>
    <t>INV-20250249</t>
  </si>
  <si>
    <t>09/05/2025</t>
  </si>
  <si>
    <t>Sep 20 2025</t>
  </si>
  <si>
    <t>INV-20250327</t>
  </si>
  <si>
    <t>Sep 05 2025</t>
  </si>
  <si>
    <t>2025-10-20</t>
  </si>
  <si>
    <t>INV-20250109</t>
  </si>
  <si>
    <t>6154.98</t>
  </si>
  <si>
    <t>INV20250507</t>
  </si>
  <si>
    <t>INV-20250058</t>
  </si>
  <si>
    <t>09/07/2025</t>
  </si>
  <si>
    <t>$11,162.99</t>
  </si>
  <si>
    <t>INV-20250322</t>
  </si>
  <si>
    <t>$4,073.29</t>
  </si>
  <si>
    <t>INV-20250095</t>
  </si>
  <si>
    <t>2025-09-08</t>
  </si>
  <si>
    <t>INV-20250197</t>
  </si>
  <si>
    <t>23-Oct-2025</t>
  </si>
  <si>
    <t>INV-20250452</t>
  </si>
  <si>
    <t>09/08/2025</t>
  </si>
  <si>
    <t>Oct 23 2025</t>
  </si>
  <si>
    <t>USD 46,096.25</t>
  </si>
  <si>
    <t>INV-20250229</t>
  </si>
  <si>
    <t>24-Oct-2025</t>
  </si>
  <si>
    <t xml:space="preserve"> inv-20250404</t>
  </si>
  <si>
    <t>09/09/2025</t>
  </si>
  <si>
    <t>USD 15,258.68</t>
  </si>
  <si>
    <t>INV-20250116</t>
  </si>
  <si>
    <t>09/13/2025</t>
  </si>
  <si>
    <t>Oct 28 2025</t>
  </si>
  <si>
    <t>$16,210.72</t>
  </si>
  <si>
    <t>INV-20250298</t>
  </si>
  <si>
    <t>$24,265.51</t>
  </si>
  <si>
    <t>INV-20250532</t>
  </si>
  <si>
    <t>INV-20250070</t>
  </si>
  <si>
    <t>INV-20250089</t>
  </si>
  <si>
    <t>10/30/2025</t>
  </si>
  <si>
    <t>USD 43,505.73</t>
  </si>
  <si>
    <t>INV-20250225</t>
  </si>
  <si>
    <t>INV-20250085</t>
  </si>
  <si>
    <t>2025-10-16</t>
  </si>
  <si>
    <t>11,311.43 usd</t>
  </si>
  <si>
    <t>INV-20250053</t>
  </si>
  <si>
    <t>20251017</t>
  </si>
  <si>
    <t>17093.27</t>
  </si>
  <si>
    <t>INV-20250073</t>
  </si>
  <si>
    <t>20250917</t>
  </si>
  <si>
    <t>2025-11-01</t>
  </si>
  <si>
    <t>17,542.45 usd</t>
  </si>
  <si>
    <t>INV-20250277</t>
  </si>
  <si>
    <t>19-Sep-2025</t>
  </si>
  <si>
    <t>03-Nov-2025</t>
  </si>
  <si>
    <t xml:space="preserve"> 25,303.54 </t>
  </si>
  <si>
    <t>INV-20250084</t>
  </si>
  <si>
    <t>31602.61</t>
  </si>
  <si>
    <t>INV-20250159</t>
  </si>
  <si>
    <t xml:space="preserve"> inv-20250347</t>
  </si>
  <si>
    <t>20250923</t>
  </si>
  <si>
    <t>11/07/2025</t>
  </si>
  <si>
    <t>USD 39,668.47</t>
  </si>
  <si>
    <t>INV-20250240</t>
  </si>
  <si>
    <t>09-Nov-2025</t>
  </si>
  <si>
    <t>$19,339.81</t>
  </si>
  <si>
    <t>INV-20250291</t>
  </si>
  <si>
    <t>09/25/2025</t>
  </si>
  <si>
    <t>Nov 09 2025</t>
  </si>
  <si>
    <t>5732.70</t>
  </si>
  <si>
    <t>INV-20250010</t>
  </si>
  <si>
    <t>2025-09-26</t>
  </si>
  <si>
    <t xml:space="preserve"> inv-20250068</t>
  </si>
  <si>
    <t>27-Sep-2025</t>
  </si>
  <si>
    <t>11/11/2025</t>
  </si>
  <si>
    <t>INV-20250266</t>
  </si>
  <si>
    <t>20250929</t>
  </si>
  <si>
    <t>13-Nov-2025</t>
  </si>
  <si>
    <t xml:space="preserve"> 40,578.43 </t>
  </si>
  <si>
    <t>INV-20250474</t>
  </si>
  <si>
    <t>6328.93</t>
  </si>
  <si>
    <t>INV20250032</t>
  </si>
  <si>
    <t>09/30/2025</t>
  </si>
  <si>
    <t>$5,286.69</t>
  </si>
  <si>
    <t>Subtotal September</t>
  </si>
  <si>
    <t>$231,655.31</t>
  </si>
  <si>
    <t>INV-20250402</t>
  </si>
  <si>
    <t>26630.78</t>
  </si>
  <si>
    <t>INV-20250421</t>
  </si>
  <si>
    <t>2025-11-15</t>
  </si>
  <si>
    <t>14835.03</t>
  </si>
  <si>
    <t>INV-20250207</t>
  </si>
  <si>
    <t>$2,598.42</t>
  </si>
  <si>
    <t>INV-20250390</t>
  </si>
  <si>
    <t>2025-11-17</t>
  </si>
  <si>
    <t>31279.66</t>
  </si>
  <si>
    <t>INV-20250195</t>
  </si>
  <si>
    <t>43411.81</t>
  </si>
  <si>
    <t xml:space="preserve">pending </t>
  </si>
  <si>
    <t>INV-20250518</t>
  </si>
  <si>
    <t>2025-10-03</t>
  </si>
  <si>
    <t>USD 33,926.60</t>
  </si>
  <si>
    <t>INV-20250549</t>
  </si>
  <si>
    <t>11/18/2025</t>
  </si>
  <si>
    <t>22,442.56 usd</t>
  </si>
  <si>
    <t>INV20250251</t>
  </si>
  <si>
    <t xml:space="preserve"> 13,586.79 </t>
  </si>
  <si>
    <t>INV-20250524</t>
  </si>
  <si>
    <t>USD 26,081.44</t>
  </si>
  <si>
    <t>INV-20250234</t>
  </si>
  <si>
    <t>Oct 07 2025</t>
  </si>
  <si>
    <t>Oct 22 2025</t>
  </si>
  <si>
    <t xml:space="preserve"> 1,402.62 </t>
  </si>
  <si>
    <t>INV-20250372</t>
  </si>
  <si>
    <t>INV-20250078</t>
  </si>
  <si>
    <t>(1,076.51)</t>
  </si>
  <si>
    <t>INV-20250261</t>
  </si>
  <si>
    <t>2025-10-08</t>
  </si>
  <si>
    <t>11/22/2025</t>
  </si>
  <si>
    <t>$32,582.73</t>
  </si>
  <si>
    <t>INV-20250309</t>
  </si>
  <si>
    <t>2025-11-22</t>
  </si>
  <si>
    <t>$34,124.11</t>
  </si>
  <si>
    <t>INV-20250473</t>
  </si>
  <si>
    <t>Nov 07 2025</t>
  </si>
  <si>
    <t>INV-20250019</t>
  </si>
  <si>
    <t>10/09/2025</t>
  </si>
  <si>
    <t>2025-10-24</t>
  </si>
  <si>
    <t>INV-20250096</t>
  </si>
  <si>
    <t>Nov 23 2025</t>
  </si>
  <si>
    <t>INV-20250279</t>
  </si>
  <si>
    <t>10/11/2025</t>
  </si>
  <si>
    <t>11/10/2025</t>
  </si>
  <si>
    <t>14443.90</t>
  </si>
  <si>
    <t>INV-20250415</t>
  </si>
  <si>
    <t>2025-10-11</t>
  </si>
  <si>
    <t>INV-20250049</t>
  </si>
  <si>
    <t>Oct 12 2025</t>
  </si>
  <si>
    <t>INV-20250385</t>
  </si>
  <si>
    <t>10/12/2025</t>
  </si>
  <si>
    <t>INV20250553</t>
  </si>
  <si>
    <t>13-Oct-2025</t>
  </si>
  <si>
    <t>2025-11-27</t>
  </si>
  <si>
    <t>18,272.41 usd</t>
  </si>
  <si>
    <t>INV-20250050</t>
  </si>
  <si>
    <t>Oct 14 2025</t>
  </si>
  <si>
    <t>28-Nov-2025</t>
  </si>
  <si>
    <t>INV-20250054</t>
  </si>
  <si>
    <t>$43,281.22</t>
  </si>
  <si>
    <t>INV-20250338</t>
  </si>
  <si>
    <t>INV-20250051</t>
  </si>
  <si>
    <t>$1,866.88</t>
  </si>
  <si>
    <t>INV-20250393</t>
  </si>
  <si>
    <t>20251129</t>
  </si>
  <si>
    <t>USD 44,850.14</t>
  </si>
  <si>
    <t>INV-20250362</t>
  </si>
  <si>
    <t>10/31/2025</t>
  </si>
  <si>
    <t>2069.63</t>
  </si>
  <si>
    <t>INV-20250478</t>
  </si>
  <si>
    <t>15-Nov-2025</t>
  </si>
  <si>
    <t>$4,748.38</t>
  </si>
  <si>
    <t>INV-20250481</t>
  </si>
  <si>
    <t>10/16/2025</t>
  </si>
  <si>
    <t>20251115</t>
  </si>
  <si>
    <t>1,829.16</t>
  </si>
  <si>
    <t>INV-20250472</t>
  </si>
  <si>
    <t>Nov 16 2025</t>
  </si>
  <si>
    <t>INV-20250166</t>
  </si>
  <si>
    <t>2025-10-18</t>
  </si>
  <si>
    <t>$42,882.57</t>
  </si>
  <si>
    <t>INV-20250433</t>
  </si>
  <si>
    <t>$4,932.92</t>
  </si>
  <si>
    <t>INV 20250249</t>
  </si>
  <si>
    <t>BLUERIVER SOFTWARE</t>
  </si>
  <si>
    <t>INV20250064</t>
  </si>
  <si>
    <t>10,166.49 usd</t>
  </si>
  <si>
    <t>INV-20250559</t>
  </si>
  <si>
    <t>2025-11-19</t>
  </si>
  <si>
    <t>INV-20250170</t>
  </si>
  <si>
    <t>31,376.56 usd</t>
  </si>
  <si>
    <t>INV-20250475</t>
  </si>
  <si>
    <t>2025-10-21</t>
  </si>
  <si>
    <t>Nov 20 2025</t>
  </si>
  <si>
    <t>8,815.60</t>
  </si>
  <si>
    <t>INV-20250496</t>
  </si>
  <si>
    <t>05-Dec-2025</t>
  </si>
  <si>
    <t>$27,238.53</t>
  </si>
  <si>
    <t>INV-20250350</t>
  </si>
  <si>
    <t>2025-10-22</t>
  </si>
  <si>
    <t>Dec 06 2025</t>
  </si>
  <si>
    <t>INV-20250015</t>
  </si>
  <si>
    <t>2025-10-23</t>
  </si>
  <si>
    <t xml:space="preserve"> 47,696.22 </t>
  </si>
  <si>
    <t>INV20250193</t>
  </si>
  <si>
    <t>10/23/2025</t>
  </si>
  <si>
    <t>07-Dec-2025</t>
  </si>
  <si>
    <t>10,432.60 usd</t>
  </si>
  <si>
    <t>INV-20250236</t>
  </si>
  <si>
    <t>25-Oct-2025</t>
  </si>
  <si>
    <t>20251209</t>
  </si>
  <si>
    <t>INV-20250435</t>
  </si>
  <si>
    <t>20251027</t>
  </si>
  <si>
    <t xml:space="preserve"> 30,725.04 </t>
  </si>
  <si>
    <t>INV-20250312</t>
  </si>
  <si>
    <t>20251212</t>
  </si>
  <si>
    <t>$37,049.88</t>
  </si>
  <si>
    <t>INV-20250287</t>
  </si>
  <si>
    <t>2025-11-21</t>
  </si>
  <si>
    <t>USD 24,146.69</t>
  </si>
  <si>
    <t>INV-20250202</t>
  </si>
  <si>
    <t>Dec 16 2025</t>
  </si>
  <si>
    <t xml:space="preserve"> inv-20250134</t>
  </si>
  <si>
    <t>12/17/2025</t>
  </si>
  <si>
    <t>INV-20250125</t>
  </si>
  <si>
    <t>Nov 04 2025</t>
  </si>
  <si>
    <t>12/04/2025</t>
  </si>
  <si>
    <t xml:space="preserve"> inv-20250344</t>
  </si>
  <si>
    <t>Dec 04 2025</t>
  </si>
  <si>
    <t>USD 1,542.06</t>
  </si>
  <si>
    <t>INV-20250052</t>
  </si>
  <si>
    <t xml:space="preserve"> 10,438.50 </t>
  </si>
  <si>
    <t>INV-20250143</t>
  </si>
  <si>
    <t xml:space="preserve"> 18,919.06 </t>
  </si>
  <si>
    <t>INV-20250318</t>
  </si>
  <si>
    <t>USD -1,189.92</t>
  </si>
  <si>
    <t>INV-20250048</t>
  </si>
  <si>
    <t>2025-11-08</t>
  </si>
  <si>
    <t>931.85 usd</t>
  </si>
  <si>
    <t>INV-20250173</t>
  </si>
  <si>
    <t>11/08/2025</t>
  </si>
  <si>
    <t>44751.38</t>
  </si>
  <si>
    <t>INV20250205</t>
  </si>
  <si>
    <t>2025-12-08</t>
  </si>
  <si>
    <t xml:space="preserve"> 12,461.75 </t>
  </si>
  <si>
    <t>INV-20250320</t>
  </si>
  <si>
    <t>Dec 23 2025</t>
  </si>
  <si>
    <t>INV-20250037</t>
  </si>
  <si>
    <t>2025-11-09</t>
  </si>
  <si>
    <t>12/24/2025</t>
  </si>
  <si>
    <t>INV-20250269</t>
  </si>
  <si>
    <t>$8,118.20</t>
  </si>
  <si>
    <t>INV-20250513</t>
  </si>
  <si>
    <t>2025-12-24</t>
  </si>
  <si>
    <t>33,874.40 usd</t>
  </si>
  <si>
    <t>INV-20250026</t>
  </si>
  <si>
    <t>5,122.04 usd</t>
  </si>
  <si>
    <t>INV-20250516</t>
  </si>
  <si>
    <t>INV-20250196</t>
  </si>
  <si>
    <t>12/27/2025</t>
  </si>
  <si>
    <t>INV-20250239</t>
  </si>
  <si>
    <t>2025-12-28</t>
  </si>
  <si>
    <t>$10,802.15</t>
  </si>
  <si>
    <t>INV-20250174</t>
  </si>
  <si>
    <t>INV-20250367</t>
  </si>
  <si>
    <t>14-Nov-2025</t>
  </si>
  <si>
    <t>2025-12-29</t>
  </si>
  <si>
    <t>INV-20250304</t>
  </si>
  <si>
    <t>$46,853.85</t>
  </si>
  <si>
    <t>INV-20250368</t>
  </si>
  <si>
    <t>8,422.18 usd</t>
  </si>
  <si>
    <t>INV20250088</t>
  </si>
  <si>
    <t>01/01/2026</t>
  </si>
  <si>
    <t>27383.53</t>
  </si>
  <si>
    <t>open</t>
  </si>
  <si>
    <t>INV-20250278</t>
  </si>
  <si>
    <t xml:space="preserve"> 579.18 </t>
  </si>
  <si>
    <t>INV-20250439</t>
  </si>
  <si>
    <t>20260101</t>
  </si>
  <si>
    <t>23,922.34</t>
  </si>
  <si>
    <t>INV-20250508</t>
  </si>
  <si>
    <t>20251117</t>
  </si>
  <si>
    <t>INV-20250004</t>
  </si>
  <si>
    <t>2026-01-02</t>
  </si>
  <si>
    <t>INV-20250430</t>
  </si>
  <si>
    <t>2025-11-18</t>
  </si>
  <si>
    <t xml:space="preserve"> inv-20250192</t>
  </si>
  <si>
    <t>11/19/2025</t>
  </si>
  <si>
    <t>INV 20250152</t>
  </si>
  <si>
    <t>INV-20250107</t>
  </si>
  <si>
    <t>Jan 04 2026</t>
  </si>
  <si>
    <t>USD 21,601.83</t>
  </si>
  <si>
    <t>INV-20250024</t>
  </si>
  <si>
    <t>20251121</t>
  </si>
  <si>
    <t>$8,706.86</t>
  </si>
  <si>
    <t>INV-20250366</t>
  </si>
  <si>
    <t>12/06/2025</t>
  </si>
  <si>
    <t>INV-20250074</t>
  </si>
  <si>
    <t>Nov 22 2025</t>
  </si>
  <si>
    <t>$10,147.63</t>
  </si>
  <si>
    <t>INV-20250182</t>
  </si>
  <si>
    <t>9,731.92 usd</t>
  </si>
  <si>
    <t>INV20250270</t>
  </si>
  <si>
    <t>2025-12-22</t>
  </si>
  <si>
    <t>USD 10,307.43</t>
  </si>
  <si>
    <t>INV-20250360</t>
  </si>
  <si>
    <t>2026-01-06</t>
  </si>
  <si>
    <t>21,104.77</t>
  </si>
  <si>
    <t>INV-20250399</t>
  </si>
  <si>
    <t xml:space="preserve"> 35,806.05 </t>
  </si>
  <si>
    <t>INV-20250527</t>
  </si>
  <si>
    <t>12/22/2025</t>
  </si>
  <si>
    <t>$8,290.06</t>
  </si>
  <si>
    <t>INV-20250356</t>
  </si>
  <si>
    <t>2025-11-23</t>
  </si>
  <si>
    <t>01/07/2026</t>
  </si>
  <si>
    <t>INV-20250253</t>
  </si>
  <si>
    <t>01/08/2026</t>
  </si>
  <si>
    <t>38,872.94</t>
  </si>
  <si>
    <t>INV-20250167</t>
  </si>
  <si>
    <t>€12,676.87</t>
  </si>
  <si>
    <t xml:space="preserve"> inv-20250126</t>
  </si>
  <si>
    <t>$40,934.09</t>
  </si>
  <si>
    <t>INV-20250223</t>
  </si>
  <si>
    <t>11-Jan-2026</t>
  </si>
  <si>
    <t>INV20250128</t>
  </si>
  <si>
    <t>20251128</t>
  </si>
  <si>
    <t>Jan 12 2026</t>
  </si>
  <si>
    <t>22480.70</t>
  </si>
  <si>
    <t>INV-20250520</t>
  </si>
  <si>
    <t xml:space="preserve"> 17,607.12 </t>
  </si>
  <si>
    <t>INV-20250043</t>
  </si>
  <si>
    <t>2025-11-29</t>
  </si>
  <si>
    <t>INV-20250091</t>
  </si>
  <si>
    <t>12/29/2025</t>
  </si>
  <si>
    <t>INV-20250156</t>
  </si>
  <si>
    <t>11/29/2025</t>
  </si>
  <si>
    <t>USD 7,448.39</t>
  </si>
  <si>
    <t>INV-20250246</t>
  </si>
  <si>
    <t>INV 20250252</t>
  </si>
  <si>
    <t>IRONWOOD  HARDWARE SUPPLY</t>
  </si>
  <si>
    <t>INV-20250454</t>
  </si>
  <si>
    <t>20251201</t>
  </si>
  <si>
    <t>2026-01-15</t>
  </si>
  <si>
    <t>$14,823.49</t>
  </si>
  <si>
    <t>INV-20250250</t>
  </si>
  <si>
    <t>2025-12-02</t>
  </si>
  <si>
    <t>Jan 01 2026</t>
  </si>
  <si>
    <t xml:space="preserve"> -1,023.46 </t>
  </si>
  <si>
    <t>INV-20250267</t>
  </si>
  <si>
    <t>2026-01-16</t>
  </si>
  <si>
    <t>INV-20250082</t>
  </si>
  <si>
    <t>01/17/2026</t>
  </si>
  <si>
    <t>$43,283.25</t>
  </si>
  <si>
    <t xml:space="preserve"> inv-20250530</t>
  </si>
  <si>
    <t>Jan 17 2026</t>
  </si>
  <si>
    <t>USD 31,593.40</t>
  </si>
  <si>
    <t>INV-20250038</t>
  </si>
  <si>
    <t>12/05/2025</t>
  </si>
  <si>
    <t>9,275.76 usd</t>
  </si>
  <si>
    <t>INV-20250471</t>
  </si>
  <si>
    <t>01/19/2026</t>
  </si>
  <si>
    <t>$29,479.15</t>
  </si>
  <si>
    <t>INV-20250046</t>
  </si>
  <si>
    <t>2025-12-06</t>
  </si>
  <si>
    <t>2025-12-21</t>
  </si>
  <si>
    <t>USD 3,200.04</t>
  </si>
  <si>
    <t>INV-20250164</t>
  </si>
  <si>
    <t>01/20/2026</t>
  </si>
  <si>
    <t>USD 28,206.05</t>
  </si>
  <si>
    <t>INV-20250364</t>
  </si>
  <si>
    <t>Dec 21 2025</t>
  </si>
  <si>
    <t>$1,691.92</t>
  </si>
  <si>
    <t xml:space="preserve"> inv-20250133</t>
  </si>
  <si>
    <t>Dec 07 2025</t>
  </si>
  <si>
    <t>INV-20250260</t>
  </si>
  <si>
    <t>12/08/2025</t>
  </si>
  <si>
    <t>32107.05</t>
  </si>
  <si>
    <t>INV-20250324</t>
  </si>
  <si>
    <t>2026-01-23</t>
  </si>
  <si>
    <t>INV-20250401</t>
  </si>
  <si>
    <t>2025-12-09</t>
  </si>
  <si>
    <t>01/23/2026</t>
  </si>
  <si>
    <t xml:space="preserve"> inv-20250271</t>
  </si>
  <si>
    <t>10-Dec-2025</t>
  </si>
  <si>
    <t>2025-12-25</t>
  </si>
  <si>
    <t xml:space="preserve"> 3,918.44 </t>
  </si>
  <si>
    <t>INV-20250286</t>
  </si>
  <si>
    <t>USD 34,641.75</t>
  </si>
  <si>
    <t>INV-20250411</t>
  </si>
  <si>
    <t>12/12/2025</t>
  </si>
  <si>
    <t>2026-01-26</t>
  </si>
  <si>
    <t>35,612.49</t>
  </si>
  <si>
    <t>INV-20250529</t>
  </si>
  <si>
    <t>01/26/2026</t>
  </si>
  <si>
    <t>$42,018.60</t>
  </si>
  <si>
    <t xml:space="preserve"> inv-20250063</t>
  </si>
  <si>
    <t>Dec 28 2025</t>
  </si>
  <si>
    <t>2101.75</t>
  </si>
  <si>
    <t>INV-20250330</t>
  </si>
  <si>
    <t>Jan 27 2026</t>
  </si>
  <si>
    <t>INV-20250392</t>
  </si>
  <si>
    <t>20251213</t>
  </si>
  <si>
    <t>7,003.84</t>
  </si>
  <si>
    <t>INV-20250468</t>
  </si>
  <si>
    <t>12/13/2025</t>
  </si>
  <si>
    <t>18587.84</t>
  </si>
  <si>
    <t>INV-20250422</t>
  </si>
  <si>
    <t>12/14/2025</t>
  </si>
  <si>
    <t xml:space="preserve"> 26,573.23 </t>
  </si>
  <si>
    <t>INV20250476</t>
  </si>
  <si>
    <t>Dec 14 2025</t>
  </si>
  <si>
    <t>INV-20250008</t>
  </si>
  <si>
    <t>12/15/2025</t>
  </si>
  <si>
    <t>2026-01-14</t>
  </si>
  <si>
    <t>10741.66</t>
  </si>
  <si>
    <t>INV-20250023</t>
  </si>
  <si>
    <t>2025-12-15</t>
  </si>
  <si>
    <t>2025-12-30</t>
  </si>
  <si>
    <t>USD 3,714.90</t>
  </si>
  <si>
    <t>INV 20250538</t>
  </si>
  <si>
    <t>INV-20250101</t>
  </si>
  <si>
    <t xml:space="preserve"> 9,486.78 </t>
  </si>
  <si>
    <t>INV-20250482</t>
  </si>
  <si>
    <t>2026-01-29</t>
  </si>
  <si>
    <t>4,512.47</t>
  </si>
  <si>
    <t>INV-20250086</t>
  </si>
  <si>
    <t>Jan 30 2026</t>
  </si>
  <si>
    <t>46067.42</t>
  </si>
  <si>
    <t>INV-20250121</t>
  </si>
  <si>
    <t>12/16/2025</t>
  </si>
  <si>
    <t>INV20250405</t>
  </si>
  <si>
    <t>$37,905.56</t>
  </si>
  <si>
    <t>INV-20250543</t>
  </si>
  <si>
    <t>20251217</t>
  </si>
  <si>
    <t>01/16/2026</t>
  </si>
  <si>
    <t>$5,277.55</t>
  </si>
  <si>
    <t>INV-20250487</t>
  </si>
  <si>
    <t>20251218</t>
  </si>
  <si>
    <t>01-Feb-2026</t>
  </si>
  <si>
    <t>USD 33,460.89</t>
  </si>
  <si>
    <t>INV-20250307</t>
  </si>
  <si>
    <t>12/19/2025</t>
  </si>
  <si>
    <t>$4,074.14</t>
  </si>
  <si>
    <t>INV-20250022</t>
  </si>
  <si>
    <t>20-Dec-2025</t>
  </si>
  <si>
    <t>02/03/2026</t>
  </si>
  <si>
    <t>41804.89</t>
  </si>
  <si>
    <t>INV20250144</t>
  </si>
  <si>
    <t>20251220</t>
  </si>
  <si>
    <t>Subtotal December</t>
  </si>
  <si>
    <t>$232,444.16</t>
  </si>
  <si>
    <t>INV-20250540</t>
  </si>
  <si>
    <t>4,675.66 usd</t>
  </si>
  <si>
    <t>INV-20250214</t>
  </si>
  <si>
    <t>12/21/2025</t>
  </si>
  <si>
    <t>$47,193.07</t>
  </si>
  <si>
    <t>INV-20250297</t>
  </si>
  <si>
    <t>2026-02-05</t>
  </si>
  <si>
    <t>INV-20250424</t>
  </si>
  <si>
    <t>11790.08</t>
  </si>
  <si>
    <t>INV20250551</t>
  </si>
  <si>
    <t>Dec 22 2025</t>
  </si>
  <si>
    <t>02/05/2026</t>
  </si>
  <si>
    <t>INV-20250232</t>
  </si>
  <si>
    <t>2025-12-23</t>
  </si>
  <si>
    <t>$11,199.45</t>
  </si>
  <si>
    <t xml:space="preserve"> inv-20250215</t>
  </si>
  <si>
    <t xml:space="preserve"> -1,153.48 </t>
  </si>
  <si>
    <t>INV-20250231</t>
  </si>
  <si>
    <t>25-Dec-2025</t>
  </si>
  <si>
    <t>24-Jan-2026</t>
  </si>
  <si>
    <t>USD 2,775.37</t>
  </si>
  <si>
    <t>INV-20250315</t>
  </si>
  <si>
    <t>01/24/2026</t>
  </si>
  <si>
    <t>$3,247.35</t>
  </si>
  <si>
    <t>INV-20250449</t>
  </si>
  <si>
    <t>INV-20250140</t>
  </si>
  <si>
    <t>INV-20250200</t>
  </si>
  <si>
    <t>INV-20250135</t>
  </si>
  <si>
    <t>20260115</t>
  </si>
  <si>
    <t>INV-20250431</t>
  </si>
  <si>
    <t>2025-12-31</t>
  </si>
  <si>
    <t>$6,387.09</t>
  </si>
  <si>
    <t>*** END OF REPORT ***</t>
  </si>
  <si>
    <t>Total records: 606</t>
  </si>
  <si>
    <t>Step 1 · Load raw AP export (rows 4–613)</t>
  </si>
  <si>
    <t>Step 2 · Remove blank rows, subtotals and report footer</t>
  </si>
  <si>
    <t>Step 3 · Standardize invoice numbers (INV-XXXXXXXX)</t>
  </si>
  <si>
    <t>Step 4 · Drop duplicate invoices (32 removed)</t>
  </si>
  <si>
    <t>Step 5 · Review vendor name variants (35 found)</t>
  </si>
  <si>
    <t>Step 6 · Map vendor variants to 8 official names</t>
  </si>
  <si>
    <t>Step 7 · Derive category from vendor; standardize status</t>
  </si>
  <si>
    <t>Step 8 · Parse 6 mixed date formats; validate payment terms</t>
  </si>
  <si>
    <t>Step 9 · Convert text amounts to numbers; fix signs and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</si>
</sst>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2"/>
    </font>
    <font>
      <sz val="12"/>
      <color theme="1"/>
      <name val="Calibri"/>
      <family val="2"/>
    </font>
    <font>
      <b/>
      <sz val="12"/>
      <name val="Calibri"/>
      <family val="2"/>
    </font>
    <font>
      <sz val="18"/>
      <color theme="3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5" fontId="2" fillId="0" borderId="0" xfId="0" applyNumberFormat="1" applyFont="1"/>
    <xf numFmtId="0" fontId="4" fillId="2" borderId="0" xfId="0" applyFont="1" applyFill="1"/>
    <xf numFmtId="0" fontId="4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06/relationships/rdSupportingPropertyBagStructure" Target="richData/rdsupportingpropertybagstructure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ichStyles" Target="richData/richStyles.xml"/><Relationship Id="rId17" Type="http://schemas.microsoft.com/office/2023/09/relationships/Python" Target="pyth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Array" Target="richData/rdarray.xml"/><Relationship Id="rId5" Type="http://schemas.openxmlformats.org/officeDocument/2006/relationships/theme" Target="theme/theme1.xml"/><Relationship Id="rId15" Type="http://schemas.microsoft.com/office/2017/06/relationships/rdRichValueTypes" Target="richData/rdRichValueTypes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Relationship Id="rId14" Type="http://schemas.microsoft.com/office/2017/06/relationships/rdSupportingPropertyBag" Target="richData/rdsupportingpropertybag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8">
  <a r="12" c="10">
    <v t="s"/>
    <v t="s">Invoice #</v>
    <v t="s">Vendor Name</v>
    <v t="s">Inv Date</v>
    <v t="s">Due Date</v>
    <v t="s">Amount</v>
    <v t="s">Curr</v>
    <v t="s">Category</v>
    <v t="s">Status</v>
    <v t="s">Notes</v>
    <v>0</v>
    <v t="s">INV-20250228</v>
    <v t="s">BlueRiver Software</v>
    <v t="r">0</v>
    <v t="r">1</v>
    <v t="s" xml:space="preserve"> 1,451.82 </v>
    <v t="s">usd</v>
    <v t="s">software</v>
    <v t="s">Paid</v>
    <v t="s">partial shipment</v>
    <v>1</v>
    <v t="s">INV-20250554</v>
    <v t="s">Riverbend Fasteners Company</v>
    <v t="r">0</v>
    <v t="s">Feb 15 2025</v>
    <v t="s">24832.69</v>
    <v t="s">US$</v>
    <v t="s">INVENTORY</v>
    <v t="s">Paid</v>
    <v t="s">approved by JM</v>
    <v>2</v>
    <v t="s">INV-20250263</v>
    <v t="s" xml:space="preserve">Northgate Marketing Group </v>
    <v t="s">01/02/2025</v>
    <v t="s">02/01/2025</v>
    <v>14984.27</v>
    <v t="s">$</v>
    <v t="s">marketing</v>
    <v t="s">paid</v>
    <v t="r">2</v>
    <v>3</v>
    <v t="s">INV-20250382</v>
    <v t="s">TIMBERLINE MILLS</v>
    <v t="s">01/03/2025</v>
    <v t="s">2025-02-17</v>
    <v t="s" xml:space="preserve"> 22,058.38 </v>
    <v t="s">USD</v>
    <v t="s">INVENTORY</v>
    <v t="s">Paid</v>
    <v t="r">2</v>
    <v>4</v>
    <v t="s">INV-20250130</v>
    <v t="s" xml:space="preserve"> Pacific Freight Lines Inc.</v>
    <v t="r">3</v>
    <v t="s">02/03/2025</v>
    <v>7356.22</v>
    <v t="s">USD</v>
    <v t="r">2</v>
    <v t="s">PAID</v>
    <v t="r">2</v>
    <v t="s">...</v>
    <v t="s">...</v>
    <v t="s">...</v>
    <v t="s">...</v>
    <v t="s">...</v>
    <v t="s">...</v>
    <v t="s">...</v>
    <v t="s">...</v>
    <v t="s">...</v>
    <v t="s">...</v>
    <v>604</v>
    <v t="s">INV-20250135</v>
    <v t="s">Harbor Light Utilities</v>
    <v t="r">4</v>
    <v t="s">20260115</v>
    <v>3920.6</v>
    <v t="s">USD</v>
    <v t="s">Utilities</v>
    <v t="s">Paid</v>
    <v t="s">partial shipment</v>
    <v>605</v>
    <v t="s">INV-20250431</v>
    <v t="s">Pacific Freight Lines Inc.</v>
    <v t="s">2025-12-31</v>
    <v t="s">Jan 30 2026</v>
    <v t="s">$6,387.09</v>
    <v t="s">USD</v>
    <v t="s">Freight-In</v>
    <v t="s">Open</v>
    <v t="r">2</v>
    <v>606</v>
    <v t="r">2</v>
    <v t="r">2</v>
    <v t="r">2</v>
    <v t="r">2</v>
    <v t="r">2</v>
    <v t="r">2</v>
    <v t="r">2</v>
    <v t="r">2</v>
    <v t="r">2</v>
    <v>607</v>
    <v t="s">*** END OF REPORT ***</v>
    <v t="r">2</v>
    <v t="r">2</v>
    <v t="r">2</v>
    <v t="r">2</v>
    <v t="r">2</v>
    <v t="r">2</v>
    <v t="r">2</v>
    <v t="r">2</v>
    <v>608</v>
    <v t="s">Total records: 606</v>
    <v t="r">2</v>
    <v t="r">2</v>
    <v t="r">2</v>
    <v t="r">2</v>
    <v t="r">2</v>
    <v t="r">2</v>
    <v t="r">2</v>
    <v t="r">2</v>
  </a>
  <a r="2">
    <v>592</v>
    <v>9</v>
  </a>
  <a r="2">
    <v>32</v>
    <v t="s">&lt;tuple&gt;</v>
  </a>
  <a r="12" c="2">
    <v t="s">Vendor Name</v>
    <v t="s">count</v>
    <v t="s">Ironwood Hardwre Supply</v>
    <v>39</v>
    <v t="s">Ironwood Hardware Supply</v>
    <v>34</v>
    <v t="s">Timberline Mill</v>
    <v>33</v>
    <v t="s">Riverbend Fasteners Co</v>
    <v>31</v>
    <v t="s">TIMBERLINE MILLS</v>
    <v>30</v>
    <v t="s">...</v>
    <v t="s">...</v>
    <v t="s">Keller &amp; Moss CPA's</v>
    <v>3</v>
    <v t="s">IRONWOOD HARDWRE SUPPLY</v>
    <v>2</v>
    <v t="s">HARBOR LIGHT UTILITIES</v>
    <v>2</v>
    <v t="s">Keller &amp; Moss CPAs</v>
    <v>2</v>
    <v t="s">RIVERBEND FASTENERS CO</v>
    <v>1</v>
  </a>
  <a r="9" c="2">
    <v t="s">Vendor Name</v>
    <v t="s">count</v>
    <v t="s">Timberline Mills</v>
    <v>131</v>
    <v t="s">Ironwood Hardware Supply</v>
    <v>127</v>
    <v t="s">Riverbend Fasteners Co.</v>
    <v>113</v>
    <v t="s">Pacific Freight Lines Inc.</v>
    <v>79</v>
    <v t="s">Northgate Marketing Group</v>
    <v>57</v>
    <v t="s">BlueRiver Software</v>
    <v>20</v>
    <v t="s">Harbor Light Utilities</v>
    <v>18</v>
    <v t="s">Keller &amp; Moss CPAs</v>
    <v>15</v>
  </a>
  <a r="9" c="5">
    <v t="s">Status</v>
    <v t="s">Open</v>
    <v t="s">Overdue</v>
    <v t="s">Paid</v>
    <v t="s">All</v>
    <v t="s">Category</v>
    <v t="s"/>
    <v t="s"/>
    <v t="s"/>
    <v t="s"/>
    <v t="s">Freight</v>
    <v>4</v>
    <v>8</v>
    <v>67</v>
    <v>79</v>
    <v t="s">Inventory</v>
    <v>44</v>
    <v>25</v>
    <v>302</v>
    <v>371</v>
    <v t="s">Marketing</v>
    <v>5</v>
    <v>3</v>
    <v>49</v>
    <v>57</v>
    <v t="s">Professional Fees</v>
    <v>0</v>
    <v>3</v>
    <v>12</v>
    <v>15</v>
    <v t="s">Software</v>
    <v>0</v>
    <v>2</v>
    <v>18</v>
    <v>20</v>
    <v t="s">Utilities</v>
    <v>0</v>
    <v>5</v>
    <v>13</v>
    <v>18</v>
    <v t="s">All</v>
    <v>53</v>
    <v>46</v>
    <v>461</v>
    <v>560</v>
  </a>
  <a r="4" c="2">
    <v t="s"/>
    <v t="s">count</v>
    <v>45</v>
    <v>371</v>
    <v>30</v>
    <v>151</v>
    <v>15</v>
    <v>38</v>
  </a>
  <a r="4" c="3">
    <v t="s"/>
    <v t="s">count</v>
    <v t="s">sum</v>
    <v t="s">Curr</v>
    <v t="s"/>
    <v t="s"/>
    <v t="s">EUR</v>
    <v>14</v>
    <v>233912.13</v>
    <v t="s">USD</v>
    <v>546</v>
    <v>10345256.58</v>
  </a>
</arrayData>
</file>

<file path=xl/richData/rdrichvalue.xml><?xml version="1.0" encoding="utf-8"?>
<rvData xmlns="http://schemas.microsoft.com/office/spreadsheetml/2017/richdata" count="394">
  <rv s="0">
    <fb>45658</fb>
    <v>2</v>
  </rv>
  <rv s="0">
    <fb>45673</fb>
    <v>2</v>
  </rv>
  <rv s="0">
    <fb>0</fb>
    <v>3</v>
  </rv>
  <rv s="0">
    <fb>45661</fb>
    <v>2</v>
  </rv>
  <rv s="0">
    <fb>46022</fb>
    <v>2</v>
  </rv>
  <rv s="1">
    <v>0</v>
  </rv>
  <rv s="2">
    <v>DataFrame</v>
    <v>1</v>
    <v>5</v>
  </rv>
  <rv s="3">
    <v>&lt;class 'pandas.core.frame.DataFrame'&gt;</v>
    <v>DataFrame</v>
    <v xml:space="preserve">                 Invoice #                  Vendor Name             Inv Date  \
0             INV-20250228           BlueRiver Software  2025-01-01 00:00:00   
1             INV-20250554  Riverbend Fasteners Company  2025-01-01 00:00:00   
2           ...</v>
    <v>6</v>
    <v>4</v>
  </rv>
  <rv s="1">
    <v>1</v>
  </rv>
  <rv s="2">
    <v>tuple</v>
    <v>6</v>
    <v>8</v>
  </rv>
  <rv s="3">
    <v>&lt;class 'tuple'&gt;</v>
    <v>tuple</v>
    <v>(592, 9)</v>
    <v>9</v>
    <v>4</v>
  </rv>
  <rv s="4">
    <fb>560</fb>
    <v>&lt;class 'int'&gt;</v>
    <v>int</v>
    <v>560</v>
    <v>560</v>
    <v>4</v>
  </rv>
  <rv s="1">
    <v>2</v>
  </rv>
  <rv s="2">
    <v>tuple</v>
    <v>6</v>
    <v>12</v>
  </rv>
  <rv s="3">
    <v>&lt;class 'tuple'&gt;</v>
    <v>tuple</v>
    <v>(32, (560, 9))</v>
    <v>13</v>
    <v>4</v>
  </rv>
  <rv s="1">
    <v>3</v>
  </rv>
  <rv s="2">
    <v>Series</v>
    <v>8</v>
    <v>15</v>
  </rv>
  <rv s="3">
    <v>&lt;class 'pandas.core.series.Series'&gt;</v>
    <v>Series</v>
    <v>Vendor Name
Ironwood Hardwre Supply        39
Ironwood Hardware Supply       34
Timberline Mill                33
Riverbend Fasteners Co         31
TIMBERLINE MILLS               30
Riverbend Fasteners Co.        29
riverbend fasteners co.        29
Ir...</v>
    <v>16</v>
    <v>4</v>
  </rv>
  <rv s="1">
    <v>4</v>
  </rv>
  <rv s="2">
    <v>Series</v>
    <v>10</v>
    <v>18</v>
  </rv>
  <rv s="3">
    <v>&lt;class 'pandas.core.series.Series'&gt;</v>
    <v>Series</v>
    <v>Vendor Name
Timberline Mills              131
Ironwood Hardware Supply      127
Riverbend Fasteners Co.       113
Pacific Freight Lines Inc.     79
Northgate Marketing Group      57
BlueRiver Software             20
Harbor Light Utilities         18
Ke...</v>
    <v>19</v>
    <v>4</v>
  </rv>
  <rv s="1">
    <v>5</v>
  </rv>
  <rv s="2">
    <v>DataFrame</v>
    <v>12</v>
    <v>21</v>
  </rv>
  <rv s="3">
    <v>&lt;class 'pandas.core.frame.DataFrame'&gt;</v>
    <v>DataFrame</v>
    <v>Status             Open  Overdue  Paid  All
Category                                   
Freight               4        8    67   79
Inventory            44       25   302  371
Marketing             5        3    49   57
Professional Fees     0        3...</v>
    <v>22</v>
    <v>4</v>
  </rv>
  <rv s="1">
    <v>6</v>
  </rv>
  <rv s="2">
    <v>Series</v>
    <v>14</v>
    <v>24</v>
  </rv>
  <rv s="3">
    <v>&lt;class 'pandas.core.series.Series'&gt;</v>
    <v>Series</v>
    <v>45    371
30    151
15     38
Name: count, dtype: int64</v>
    <v>25</v>
    <v>4</v>
  </rv>
  <rv s="1">
    <v>7</v>
  </rv>
  <rv s="2">
    <v>DataFrame</v>
    <v>16</v>
    <v>27</v>
  </rv>
  <rv s="3">
    <v>&lt;class 'pandas.core.frame.DataFrame'&gt;</v>
    <v>DataFrame</v>
    <v xml:space="preserve">      count          sum
Curr                    
EUR      14    233912.13
USD     546  10345256.58</v>
    <v>28</v>
    <v>4</v>
  </rv>
  <rv s="0">
    <fb>45703</fb>
    <v>2</v>
  </rv>
  <rv s="0">
    <fb>45659</fb>
    <v>2</v>
  </rv>
  <rv s="0">
    <fb>45689</fb>
    <v>2</v>
  </rv>
  <rv s="0">
    <fb>45660</fb>
    <v>2</v>
  </rv>
  <rv s="0">
    <fb>45705</fb>
    <v>2</v>
  </rv>
  <rv s="0">
    <fb>45691</fb>
    <v>2</v>
  </rv>
  <rv s="0">
    <fb>45663</fb>
    <v>2</v>
  </rv>
  <rv s="0">
    <fb>45693</fb>
    <v>2</v>
  </rv>
  <rv s="0">
    <fb>45664</fb>
    <v>2</v>
  </rv>
  <rv s="0">
    <fb>45694</fb>
    <v>2</v>
  </rv>
  <rv s="0">
    <fb>45709</fb>
    <v>2</v>
  </rv>
  <rv s="0">
    <fb>45665</fb>
    <v>2</v>
  </rv>
  <rv s="0">
    <fb>45710</fb>
    <v>2</v>
  </rv>
  <rv s="0">
    <fb>45666</fb>
    <v>2</v>
  </rv>
  <rv s="0">
    <fb>45711</fb>
    <v>2</v>
  </rv>
  <rv s="0">
    <fb>45667</fb>
    <v>2</v>
  </rv>
  <rv s="0">
    <fb>45712</fb>
    <v>2</v>
  </rv>
  <rv s="0">
    <fb>45668</fb>
    <v>2</v>
  </rv>
  <rv s="0">
    <fb>45713</fb>
    <v>2</v>
  </rv>
  <rv s="0">
    <fb>45698</fb>
    <v>2</v>
  </rv>
  <rv s="0">
    <fb>45669</fb>
    <v>2</v>
  </rv>
  <rv s="0">
    <fb>45699</fb>
    <v>2</v>
  </rv>
  <rv s="0">
    <fb>45670</fb>
    <v>2</v>
  </rv>
  <rv s="0">
    <fb>45685</fb>
    <v>2</v>
  </rv>
  <rv s="0">
    <fb>45671</fb>
    <v>2</v>
  </rv>
  <rv s="0">
    <fb>45716</fb>
    <v>2</v>
  </rv>
  <rv s="0">
    <fb>45672</fb>
    <v>2</v>
  </rv>
  <rv s="0">
    <fb>45702</fb>
    <v>2</v>
  </rv>
  <rv s="0">
    <fb>45717</fb>
    <v>2</v>
  </rv>
  <rv s="0">
    <fb>45718</fb>
    <v>2</v>
  </rv>
  <rv s="0">
    <fb>45674</fb>
    <v>2</v>
  </rv>
  <rv s="0">
    <fb>45704</fb>
    <v>2</v>
  </rv>
  <rv s="0">
    <fb>45719</fb>
    <v>2</v>
  </rv>
  <rv s="0">
    <fb>45676</fb>
    <v>2</v>
  </rv>
  <rv s="0">
    <fb>45721</fb>
    <v>2</v>
  </rv>
  <rv s="0">
    <fb>45678</fb>
    <v>2</v>
  </rv>
  <rv s="0">
    <fb>45723</fb>
    <v>2</v>
  </rv>
  <rv s="0">
    <fb>45679</fb>
    <v>2</v>
  </rv>
  <rv s="0">
    <fb>45680</fb>
    <v>2</v>
  </rv>
  <rv s="0">
    <fb>45725</fb>
    <v>2</v>
  </rv>
  <rv s="0">
    <fb>45681</fb>
    <v>2</v>
  </rv>
  <rv s="0">
    <fb>45726</fb>
    <v>2</v>
  </rv>
  <rv s="0">
    <fb>45682</fb>
    <v>2</v>
  </rv>
  <rv s="0">
    <fb>45727</fb>
    <v>2</v>
  </rv>
  <rv s="0">
    <fb>45683</fb>
    <v>2</v>
  </rv>
  <rv s="0">
    <fb>45728</fb>
    <v>2</v>
  </rv>
  <rv s="0">
    <fb>45684</fb>
    <v>2</v>
  </rv>
  <rv s="0">
    <fb>45729</fb>
    <v>2</v>
  </rv>
  <rv s="0">
    <fb>45714</fb>
    <v>2</v>
  </rv>
  <rv s="0">
    <fb>45730</fb>
    <v>2</v>
  </rv>
  <rv s="0">
    <fb>45687</fb>
    <v>2</v>
  </rv>
  <rv s="0">
    <fb>45732</fb>
    <v>2</v>
  </rv>
  <rv s="0">
    <fb>45688</fb>
    <v>2</v>
  </rv>
  <rv s="0">
    <fb>45733</fb>
    <v>2</v>
  </rv>
  <rv s="0">
    <fb>45690</fb>
    <v>2</v>
  </rv>
  <rv s="0">
    <fb>45735</fb>
    <v>2</v>
  </rv>
  <rv s="0">
    <fb>45736</fb>
    <v>2</v>
  </rv>
  <rv s="0">
    <fb>45692</fb>
    <v>2</v>
  </rv>
  <rv s="0">
    <fb>45737</fb>
    <v>2</v>
  </rv>
  <rv s="0">
    <fb>45739</fb>
    <v>2</v>
  </rv>
  <rv s="0">
    <fb>45695</fb>
    <v>2</v>
  </rv>
  <rv s="0">
    <fb>45740</fb>
    <v>2</v>
  </rv>
  <rv s="0">
    <fb>45696</fb>
    <v>2</v>
  </rv>
  <rv s="0">
    <fb>45697</fb>
    <v>2</v>
  </rv>
  <rv s="0">
    <fb>45742</fb>
    <v>2</v>
  </rv>
  <rv s="0">
    <fb>45744</fb>
    <v>2</v>
  </rv>
  <rv s="0">
    <fb>45700</fb>
    <v>2</v>
  </rv>
  <rv s="0">
    <fb>45745</fb>
    <v>2</v>
  </rv>
  <rv s="0">
    <fb>45701</fb>
    <v>2</v>
  </rv>
  <rv s="0">
    <fb>45746</fb>
    <v>2</v>
  </rv>
  <rv s="0">
    <fb>45747</fb>
    <v>2</v>
  </rv>
  <rv s="0">
    <fb>45749</fb>
    <v>2</v>
  </rv>
  <rv s="0">
    <fb>45734</fb>
    <v>2</v>
  </rv>
  <rv s="0">
    <fb>45706</fb>
    <v>2</v>
  </rv>
  <rv s="0">
    <fb>45707</fb>
    <v>2</v>
  </rv>
  <rv s="0">
    <fb>45722</fb>
    <v>2</v>
  </rv>
  <rv s="0">
    <fb>45708</fb>
    <v>2</v>
  </rv>
  <rv s="0">
    <fb>45753</fb>
    <v>2</v>
  </rv>
  <rv s="0">
    <fb>45754</fb>
    <v>2</v>
  </rv>
  <rv s="0">
    <fb>45756</fb>
    <v>2</v>
  </rv>
  <rv s="0">
    <fb>45757</fb>
    <v>2</v>
  </rv>
  <rv s="0">
    <fb>45758</fb>
    <v>2</v>
  </rv>
  <rv s="0">
    <fb>45759</fb>
    <v>2</v>
  </rv>
  <rv s="0">
    <fb>45715</fb>
    <v>2</v>
  </rv>
  <rv s="0">
    <fb>45760</fb>
    <v>2</v>
  </rv>
  <rv s="0">
    <fb>45762</fb>
    <v>2</v>
  </rv>
  <rv s="0">
    <fb>45763</fb>
    <v>2</v>
  </rv>
  <rv s="0">
    <fb>45764</fb>
    <v>2</v>
  </rv>
  <rv s="0">
    <fb>45720</fb>
    <v>2</v>
  </rv>
  <rv s="0">
    <fb>45765</fb>
    <v>2</v>
  </rv>
  <rv s="0">
    <fb>45724</fb>
    <v>2</v>
  </rv>
  <rv s="0">
    <fb>45770</fb>
    <v>2</v>
  </rv>
  <rv s="0">
    <fb>45755</fb>
    <v>2</v>
  </rv>
  <rv s="0">
    <fb>45771</fb>
    <v>2</v>
  </rv>
  <rv s="0">
    <fb>45772</fb>
    <v>2</v>
  </rv>
  <rv s="0">
    <fb>45775</fb>
    <v>2</v>
  </rv>
  <rv s="0">
    <fb>45731</fb>
    <v>2</v>
  </rv>
  <rv s="0">
    <fb>45776</fb>
    <v>2</v>
  </rv>
  <rv s="0">
    <fb>45761</fb>
    <v>2</v>
  </rv>
  <rv s="0">
    <fb>45779</fb>
    <v>2</v>
  </rv>
  <rv s="0">
    <fb>45780</fb>
    <v>2</v>
  </rv>
  <rv s="0">
    <fb>45782</fb>
    <v>2</v>
  </rv>
  <rv s="0">
    <fb>45738</fb>
    <v>2</v>
  </rv>
  <rv s="0">
    <fb>45783</fb>
    <v>2</v>
  </rv>
  <rv s="0">
    <fb>45769</fb>
    <v>2</v>
  </rv>
  <rv s="0">
    <fb>45784</fb>
    <v>2</v>
  </rv>
  <rv s="0">
    <fb>45785</fb>
    <v>2</v>
  </rv>
  <rv s="0">
    <fb>45787</fb>
    <v>2</v>
  </rv>
  <rv s="0">
    <fb>45789</fb>
    <v>2</v>
  </rv>
  <rv s="0">
    <fb>45790</fb>
    <v>2</v>
  </rv>
  <rv s="0">
    <fb>45791</fb>
    <v>2</v>
  </rv>
  <rv s="0">
    <fb>45792</fb>
    <v>2</v>
  </rv>
  <rv s="0">
    <fb>45794</fb>
    <v>2</v>
  </rv>
  <rv s="0">
    <fb>45750</fb>
    <v>2</v>
  </rv>
  <rv s="0">
    <fb>45795</fb>
    <v>2</v>
  </rv>
  <rv s="0">
    <fb>45751</fb>
    <v>2</v>
  </rv>
  <rv s="0">
    <fb>45796</fb>
    <v>2</v>
  </rv>
  <rv s="0">
    <fb>45766</fb>
    <v>2</v>
  </rv>
  <rv s="0">
    <fb>45781</fb>
    <v>2</v>
  </rv>
  <rv s="0">
    <fb>45752</fb>
    <v>2</v>
  </rv>
  <rv s="0">
    <fb>45797</fb>
    <v>2</v>
  </rv>
  <rv s="0">
    <fb>45799</fb>
    <v>2</v>
  </rv>
  <rv s="0">
    <fb>45800</fb>
    <v>2</v>
  </rv>
  <rv s="0">
    <fb>45801</fb>
    <v>2</v>
  </rv>
  <rv s="0">
    <fb>45786</fb>
    <v>2</v>
  </rv>
  <rv s="0">
    <fb>45803</fb>
    <v>2</v>
  </rv>
  <rv s="0">
    <fb>45806</fb>
    <v>2</v>
  </rv>
  <rv s="0">
    <fb>45807</fb>
    <v>2</v>
  </rv>
  <rv s="0">
    <fb>45809</fb>
    <v>2</v>
  </rv>
  <rv s="0">
    <fb>45810</fb>
    <v>2</v>
  </rv>
  <rv s="0">
    <fb>45767</fb>
    <v>2</v>
  </rv>
  <rv s="0">
    <fb>45812</fb>
    <v>2</v>
  </rv>
  <rv s="0">
    <fb>45768</fb>
    <v>2</v>
  </rv>
  <rv s="0">
    <fb>45813</fb>
    <v>2</v>
  </rv>
  <rv s="0">
    <fb>45814</fb>
    <v>2</v>
  </rv>
  <rv s="0">
    <fb>45817</fb>
    <v>2</v>
  </rv>
  <rv s="0">
    <fb>45821</fb>
    <v>2</v>
  </rv>
  <rv s="0">
    <fb>45824</fb>
    <v>2</v>
  </rv>
  <rv s="0">
    <fb>45825</fb>
    <v>2</v>
  </rv>
  <rv s="0">
    <fb>45826</fb>
    <v>2</v>
  </rv>
  <rv s="0">
    <fb>45827</fb>
    <v>2</v>
  </rv>
  <rv s="0">
    <fb>45829</fb>
    <v>2</v>
  </rv>
  <rv s="0">
    <fb>45830</fb>
    <v>2</v>
  </rv>
  <rv s="0">
    <fb>45831</fb>
    <v>2</v>
  </rv>
  <rv s="0">
    <fb>45832</fb>
    <v>2</v>
  </rv>
  <rv s="0">
    <fb>45834</fb>
    <v>2</v>
  </rv>
  <rv s="0">
    <fb>45835</fb>
    <v>2</v>
  </rv>
  <rv s="0">
    <fb>45836</fb>
    <v>2</v>
  </rv>
  <rv s="0">
    <fb>45837</fb>
    <v>2</v>
  </rv>
  <rv s="0">
    <fb>45839</fb>
    <v>2</v>
  </rv>
  <rv s="0">
    <fb>45840</fb>
    <v>2</v>
  </rv>
  <rv s="0">
    <fb>45841</fb>
    <v>2</v>
  </rv>
  <rv s="0">
    <fb>45798</fb>
    <v>2</v>
  </rv>
  <rv s="0">
    <fb>45843</fb>
    <v>2</v>
  </rv>
  <rv s="0">
    <fb>45844</fb>
    <v>2</v>
  </rv>
  <rv s="0">
    <fb>45845</fb>
    <v>2</v>
  </rv>
  <rv s="0">
    <fb>45846</fb>
    <v>2</v>
  </rv>
  <rv s="0">
    <fb>45802</fb>
    <v>2</v>
  </rv>
  <rv s="0">
    <fb>45847</fb>
    <v>2</v>
  </rv>
  <rv s="0">
    <fb>45804</fb>
    <v>2</v>
  </rv>
  <rv s="0">
    <fb>45805</fb>
    <v>2</v>
  </rv>
  <rv s="0">
    <fb>45850</fb>
    <v>2</v>
  </rv>
  <rv s="0">
    <fb>45854</fb>
    <v>2</v>
  </rv>
  <rv s="0">
    <fb>45855</fb>
    <v>2</v>
  </rv>
  <rv s="0">
    <fb>45811</fb>
    <v>2</v>
  </rv>
  <rv s="0">
    <fb>45856</fb>
    <v>2</v>
  </rv>
  <rv s="0">
    <fb>45857</fb>
    <v>2</v>
  </rv>
  <rv s="0">
    <fb>45842</fb>
    <v>2</v>
  </rv>
  <rv s="0">
    <fb>45858</fb>
    <v>2</v>
  </rv>
  <rv s="0">
    <fb>45815</fb>
    <v>2</v>
  </rv>
  <rv s="0">
    <fb>45860</fb>
    <v>2</v>
  </rv>
  <rv s="0">
    <fb>45816</fb>
    <v>2</v>
  </rv>
  <rv s="0">
    <fb>45861</fb>
    <v>2</v>
  </rv>
  <rv s="0">
    <fb>45862</fb>
    <v>2</v>
  </rv>
  <rv s="0">
    <fb>45819</fb>
    <v>2</v>
  </rv>
  <rv s="0">
    <fb>45864</fb>
    <v>2</v>
  </rv>
  <rv s="0">
    <fb>45866</fb>
    <v>2</v>
  </rv>
  <rv s="0">
    <fb>45822</fb>
    <v>2</v>
  </rv>
  <rv s="0">
    <fb>45852</fb>
    <v>2</v>
  </rv>
  <rv s="0">
    <fb>45823</fb>
    <v>2</v>
  </rv>
  <rv s="0">
    <fb>45868</fb>
    <v>2</v>
  </rv>
  <rv s="0">
    <fb>45869</fb>
    <v>2</v>
  </rv>
  <rv s="0">
    <fb>45872</fb>
    <v>2</v>
  </rv>
  <rv s="0">
    <fb>45874</fb>
    <v>2</v>
  </rv>
  <rv s="0">
    <fb>45876</fb>
    <v>2</v>
  </rv>
  <rv s="0">
    <fb>45877</fb>
    <v>2</v>
  </rv>
  <rv s="0">
    <fb>45879</fb>
    <v>2</v>
  </rv>
  <rv s="0">
    <fb>45880</fb>
    <v>2</v>
  </rv>
  <rv s="0">
    <fb>45881</fb>
    <v>2</v>
  </rv>
  <rv s="0">
    <fb>45867</fb>
    <v>2</v>
  </rv>
  <rv s="0">
    <fb>45838</fb>
    <v>2</v>
  </rv>
  <rv s="0">
    <fb>45883</fb>
    <v>2</v>
  </rv>
  <rv s="0">
    <fb>45884</fb>
    <v>2</v>
  </rv>
  <rv s="0">
    <fb>45870</fb>
    <v>2</v>
  </rv>
  <rv s="0">
    <fb>45885</fb>
    <v>2</v>
  </rv>
  <rv s="0">
    <fb>45887</fb>
    <v>2</v>
  </rv>
  <rv s="0">
    <fb>45888</fb>
    <v>2</v>
  </rv>
  <rv s="0">
    <fb>45873</fb>
    <v>2</v>
  </rv>
  <rv s="0">
    <fb>45848</fb>
    <v>2</v>
  </rv>
  <rv s="0">
    <fb>45878</fb>
    <v>2</v>
  </rv>
  <rv s="0">
    <fb>45895</fb>
    <v>2</v>
  </rv>
  <rv s="0">
    <fb>45851</fb>
    <v>2</v>
  </rv>
  <rv s="0">
    <fb>45896</fb>
    <v>2</v>
  </rv>
  <rv s="0">
    <fb>45882</fb>
    <v>2</v>
  </rv>
  <rv s="0">
    <fb>45853</fb>
    <v>2</v>
  </rv>
  <rv s="0">
    <fb>45898</fb>
    <v>2</v>
  </rv>
  <rv s="0">
    <fb>45886</fb>
    <v>2</v>
  </rv>
  <rv s="0">
    <fb>45901</fb>
    <v>2</v>
  </rv>
  <rv s="0">
    <fb>45871</fb>
    <v>2</v>
  </rv>
  <rv s="0">
    <fb>45859</fb>
    <v>2</v>
  </rv>
  <rv s="0">
    <fb>45904</fb>
    <v>2</v>
  </rv>
  <rv s="0">
    <fb>45905</fb>
    <v>2</v>
  </rv>
  <rv s="0">
    <fb>45906</fb>
    <v>2</v>
  </rv>
  <rv s="0">
    <fb>45863</fb>
    <v>2</v>
  </rv>
  <rv s="0">
    <fb>45908</fb>
    <v>2</v>
  </rv>
  <rv s="0">
    <fb>45893</fb>
    <v>2</v>
  </rv>
  <rv s="0">
    <fb>45894</fb>
    <v>2</v>
  </rv>
  <rv s="0">
    <fb>45909</fb>
    <v>2</v>
  </rv>
  <rv s="0">
    <fb>45913</fb>
    <v>2</v>
  </rv>
  <rv s="0">
    <fb>45899</fb>
    <v>2</v>
  </rv>
  <rv s="0">
    <fb>45914</fb>
    <v>2</v>
  </rv>
  <rv s="0">
    <fb>45915</fb>
    <v>2</v>
  </rv>
  <rv s="0">
    <fb>45917</fb>
    <v>2</v>
  </rv>
  <rv s="0">
    <fb>45918</fb>
    <v>2</v>
  </rv>
  <rv s="0">
    <fb>45903</fb>
    <v>2</v>
  </rv>
  <rv s="0">
    <fb>45875</fb>
    <v>2</v>
  </rv>
  <rv s="0">
    <fb>45920</fb>
    <v>2</v>
  </rv>
  <rv s="0">
    <fb>45923</fb>
    <v>2</v>
  </rv>
  <rv s="0">
    <fb>45924</fb>
    <v>2</v>
  </rv>
  <rv s="0">
    <fb>45910</fb>
    <v>2</v>
  </rv>
  <rv s="0">
    <fb>45926</fb>
    <v>2</v>
  </rv>
  <rv s="0">
    <fb>45912</fb>
    <v>2</v>
  </rv>
  <rv s="0">
    <fb>45928</fb>
    <v>2</v>
  </rv>
  <rv s="0">
    <fb>45929</fb>
    <v>2</v>
  </rv>
  <rv s="0">
    <fb>45916</fb>
    <v>2</v>
  </rv>
  <rv s="0">
    <fb>45931</fb>
    <v>2</v>
  </rv>
  <rv s="0">
    <fb>45933</fb>
    <v>2</v>
  </rv>
  <rv s="0">
    <fb>45889</fb>
    <v>2</v>
  </rv>
  <rv s="0">
    <fb>45934</fb>
    <v>2</v>
  </rv>
  <rv s="0">
    <fb>45919</fb>
    <v>2</v>
  </rv>
  <rv s="0">
    <fb>45892</fb>
    <v>2</v>
  </rv>
  <rv s="0">
    <fb>45937</fb>
    <v>2</v>
  </rv>
  <rv s="0">
    <fb>45938</fb>
    <v>2</v>
  </rv>
  <rv s="0">
    <fb>45939</fb>
    <v>2</v>
  </rv>
  <rv s="0">
    <fb>45940</fb>
    <v>2</v>
  </rv>
  <rv s="0">
    <fb>45897</fb>
    <v>2</v>
  </rv>
  <rv s="0">
    <fb>45927</fb>
    <v>2</v>
  </rv>
  <rv s="0">
    <fb>45942</fb>
    <v>2</v>
  </rv>
  <rv s="0">
    <fb>45900</fb>
    <v>2</v>
  </rv>
  <rv s="0">
    <fb>45945</fb>
    <v>2</v>
  </rv>
  <rv s="0">
    <fb>45948</fb>
    <v>2</v>
  </rv>
  <rv s="0">
    <fb>45949</fb>
    <v>2</v>
  </rv>
  <rv s="0">
    <fb>45950</fb>
    <v>2</v>
  </rv>
  <rv s="0">
    <fb>45951</fb>
    <v>2</v>
  </rv>
  <rv s="0">
    <fb>45936</fb>
    <v>2</v>
  </rv>
  <rv s="0">
    <fb>45907</fb>
    <v>2</v>
  </rv>
  <rv s="0">
    <fb>45952</fb>
    <v>2</v>
  </rv>
  <rv s="0">
    <fb>45922</fb>
    <v>2</v>
  </rv>
  <rv s="0">
    <fb>45953</fb>
    <v>2</v>
  </rv>
  <rv s="0">
    <fb>45954</fb>
    <v>2</v>
  </rv>
  <rv s="0">
    <fb>45958</fb>
    <v>2</v>
  </rv>
  <rv s="0">
    <fb>45960</fb>
    <v>2</v>
  </rv>
  <rv s="0">
    <fb>45946</fb>
    <v>2</v>
  </rv>
  <rv s="0">
    <fb>45962</fb>
    <v>2</v>
  </rv>
  <rv s="0">
    <fb>45947</fb>
    <v>2</v>
  </rv>
  <rv s="0">
    <fb>45964</fb>
    <v>2</v>
  </rv>
  <rv s="0">
    <fb>45965</fb>
    <v>2</v>
  </rv>
  <rv s="0">
    <fb>45968</fb>
    <v>2</v>
  </rv>
  <rv s="0">
    <fb>45925</fb>
    <v>2</v>
  </rv>
  <rv s="0">
    <fb>45970</fb>
    <v>2</v>
  </rv>
  <rv s="0">
    <fb>45971</fb>
    <v>2</v>
  </rv>
  <rv s="0">
    <fb>45972</fb>
    <v>2</v>
  </rv>
  <rv s="0">
    <fb>45959</fb>
    <v>2</v>
  </rv>
  <rv s="0">
    <fb>45974</fb>
    <v>2</v>
  </rv>
  <rv s="0">
    <fb>45930</fb>
    <v>2</v>
  </rv>
  <rv s="0">
    <fb>45975</fb>
    <v>2</v>
  </rv>
  <rv s="0">
    <fb>45976</fb>
    <v>2</v>
  </rv>
  <rv s="0">
    <fb>45963</fb>
    <v>2</v>
  </rv>
  <rv s="0">
    <fb>45978</fb>
    <v>2</v>
  </rv>
  <rv s="0">
    <fb>45979</fb>
    <v>2</v>
  </rv>
  <rv s="0">
    <fb>45981</fb>
    <v>2</v>
  </rv>
  <rv s="0">
    <fb>45982</fb>
    <v>2</v>
  </rv>
  <rv s="0">
    <fb>45983</fb>
    <v>2</v>
  </rv>
  <rv s="0">
    <fb>45984</fb>
    <v>2</v>
  </rv>
  <rv s="0">
    <fb>45941</fb>
    <v>2</v>
  </rv>
  <rv s="0">
    <fb>45986</fb>
    <v>2</v>
  </rv>
  <rv s="0">
    <fb>45987</fb>
    <v>2</v>
  </rv>
  <rv s="0">
    <fb>45943</fb>
    <v>2</v>
  </rv>
  <rv s="0">
    <fb>45988</fb>
    <v>2</v>
  </rv>
  <rv s="0">
    <fb>45944</fb>
    <v>2</v>
  </rv>
  <rv s="0">
    <fb>45989</fb>
    <v>2</v>
  </rv>
  <rv s="0">
    <fb>45990</fb>
    <v>2</v>
  </rv>
  <rv s="0">
    <fb>45961</fb>
    <v>2</v>
  </rv>
  <rv s="0">
    <fb>45977</fb>
    <v>2</v>
  </rv>
  <rv s="0">
    <fb>45993</fb>
    <v>2</v>
  </rv>
  <rv s="0">
    <fb>45980</fb>
    <v>2</v>
  </rv>
  <rv s="0">
    <fb>45996</fb>
    <v>2</v>
  </rv>
  <rv s="0">
    <fb>45997</fb>
    <v>2</v>
  </rv>
  <rv s="0">
    <fb>45998</fb>
    <v>2</v>
  </rv>
  <rv s="0">
    <fb>45955</fb>
    <v>2</v>
  </rv>
  <rv s="0">
    <fb>46000</fb>
    <v>2</v>
  </rv>
  <rv s="0">
    <fb>45957</fb>
    <v>2</v>
  </rv>
  <rv s="0">
    <fb>46002</fb>
    <v>2</v>
  </rv>
  <rv s="0">
    <fb>46003</fb>
    <v>2</v>
  </rv>
  <rv s="0">
    <fb>46007</fb>
    <v>2</v>
  </rv>
  <rv s="0">
    <fb>46008</fb>
    <v>2</v>
  </rv>
  <rv s="0">
    <fb>45995</fb>
    <v>2</v>
  </rv>
  <rv s="0">
    <fb>46013</fb>
    <v>2</v>
  </rv>
  <rv s="0">
    <fb>45969</fb>
    <v>2</v>
  </rv>
  <rv s="0">
    <fb>46014</fb>
    <v>2</v>
  </rv>
  <rv s="0">
    <fb>45999</fb>
    <v>2</v>
  </rv>
  <rv s="0">
    <fb>46015</fb>
    <v>2</v>
  </rv>
  <rv s="0">
    <fb>46017</fb>
    <v>2</v>
  </rv>
  <rv s="0">
    <fb>45973</fb>
    <v>2</v>
  </rv>
  <rv s="0">
    <fb>46018</fb>
    <v>2</v>
  </rv>
  <rv s="0">
    <fb>46019</fb>
    <v>2</v>
  </rv>
  <rv s="0">
    <fb>46020</fb>
    <v>2</v>
  </rv>
  <rv s="0">
    <fb>46005</fb>
    <v>2</v>
  </rv>
  <rv s="0">
    <fb>46021</fb>
    <v>2</v>
  </rv>
  <rv s="0">
    <fb>46023</fb>
    <v>2</v>
  </rv>
  <rv s="0">
    <fb>46024</fb>
    <v>2</v>
  </rv>
  <rv s="0">
    <fb>46010</fb>
    <v>2</v>
  </rv>
  <rv s="0">
    <fb>46026</fb>
    <v>2</v>
  </rv>
  <rv s="0">
    <fb>46027</fb>
    <v>2</v>
  </rv>
  <rv s="0">
    <fb>46012</fb>
    <v>2</v>
  </rv>
  <rv s="0">
    <fb>46028</fb>
    <v>2</v>
  </rv>
  <rv s="0">
    <fb>46029</fb>
    <v>2</v>
  </rv>
  <rv s="0">
    <fb>45985</fb>
    <v>2</v>
  </rv>
  <rv s="0">
    <fb>46030</fb>
    <v>2</v>
  </rv>
  <rv s="0">
    <fb>46032</fb>
    <v>2</v>
  </rv>
  <rv s="0">
    <fb>46033</fb>
    <v>2</v>
  </rv>
  <rv s="0">
    <fb>46034</fb>
    <v>2</v>
  </rv>
  <rv s="0">
    <fb>46035</fb>
    <v>2</v>
  </rv>
  <rv s="0">
    <fb>45992</fb>
    <v>2</v>
  </rv>
  <rv s="0">
    <fb>46037</fb>
    <v>2</v>
  </rv>
  <rv s="0">
    <fb>46038</fb>
    <v>2</v>
  </rv>
  <rv s="0">
    <fb>45994</fb>
    <v>2</v>
  </rv>
  <rv s="0">
    <fb>46039</fb>
    <v>2</v>
  </rv>
  <rv s="0">
    <fb>46041</fb>
    <v>2</v>
  </rv>
  <rv s="0">
    <fb>46042</fb>
    <v>2</v>
  </rv>
  <rv s="0">
    <fb>46044</fb>
    <v>2</v>
  </rv>
  <rv s="0">
    <fb>46045</fb>
    <v>2</v>
  </rv>
  <rv s="0">
    <fb>46001</fb>
    <v>2</v>
  </rv>
  <rv s="0">
    <fb>46016</fb>
    <v>2</v>
  </rv>
  <rv s="0">
    <fb>46047</fb>
    <v>2</v>
  </rv>
  <rv s="0">
    <fb>46048</fb>
    <v>2</v>
  </rv>
  <rv s="0">
    <fb>46004</fb>
    <v>2</v>
  </rv>
  <rv s="0">
    <fb>46049</fb>
    <v>2</v>
  </rv>
  <rv s="0">
    <fb>46050</fb>
    <v>2</v>
  </rv>
  <rv s="0">
    <fb>46006</fb>
    <v>2</v>
  </rv>
  <rv s="0">
    <fb>46036</fb>
    <v>2</v>
  </rv>
  <rv s="0">
    <fb>46051</fb>
    <v>2</v>
  </rv>
  <rv s="0">
    <fb>46052</fb>
    <v>2</v>
  </rv>
  <rv s="0">
    <fb>46053</fb>
    <v>2</v>
  </rv>
  <rv s="0">
    <fb>46009</fb>
    <v>2</v>
  </rv>
  <rv s="0">
    <fb>46054</fb>
    <v>2</v>
  </rv>
  <rv s="0">
    <fb>46055</fb>
    <v>2</v>
  </rv>
  <rv s="0">
    <fb>46011</fb>
    <v>2</v>
  </rv>
  <rv s="0">
    <fb>46056</fb>
    <v>2</v>
  </rv>
  <rv s="0">
    <fb>46057</fb>
    <v>2</v>
  </rv>
  <rv s="0">
    <fb>46058</fb>
    <v>2</v>
  </rv>
  <rv s="0">
    <fb>46046</fb>
    <v>2</v>
  </rv>
  <rv s="0">
    <fb>46062</fb>
    <v>2</v>
  </rv>
  <rv s="0">
    <fb>46064</fb>
    <v>2</v>
  </rv>
</rvData>
</file>

<file path=xl/richData/rdrichvaluestructure.xml><?xml version="1.0" encoding="utf-8"?>
<rvStructures xmlns="http://schemas.microsoft.com/office/spreadsheetml/2017/richdata" count="5">
  <s t="_formattednumber">
    <k n="_Format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python">
    <k n="Python_type" t="s"/>
    <k n="Python_typeName" t="s"/>
    <k n="Python_str" t="s"/>
    <k n="basicValue" t="i"/>
    <k n="_Provider" t="spb"/>
  </s>
</rvStructures>
</file>

<file path=xl/richData/rdsupportingpropertybag.xml><?xml version="1.0" encoding="utf-8"?>
<supportingPropertyBags xmlns="http://schemas.microsoft.com/office/spreadsheetml/2017/richdata2">
  <spbData count="17">
    <spb s="0">
      <v>609</v>
      <v>9</v>
      <v>DataFrame</v>
      <v>arrayPreview</v>
      <v>1</v>
    </spb>
    <spb s="1">
      <v>0</v>
    </spb>
    <spb s="2">
      <v>1</v>
    </spb>
    <spb s="2">
      <v>2</v>
    </spb>
    <spb s="3">
      <v>https://www.anaconda.com/excel</v>
      <v>https://res.cdn.office.net/officepysvc/prod-preview/anacondalogo.png</v>
      <v>Python provided by Anaconda</v>
    </spb>
    <spb s="4">
      <v>2</v>
      <v>1</v>
      <v>tuple</v>
      <v>arrayPreview</v>
    </spb>
    <spb s="1">
      <v>5</v>
    </spb>
    <spb s="0">
      <v>35</v>
      <v>1</v>
      <v>Series</v>
      <v>arrayPreview</v>
      <v>1</v>
    </spb>
    <spb s="1">
      <v>7</v>
    </spb>
    <spb s="0">
      <v>8</v>
      <v>1</v>
      <v>Series</v>
      <v>arrayPreview</v>
      <v>1</v>
    </spb>
    <spb s="1">
      <v>9</v>
    </spb>
    <spb s="0">
      <v>7</v>
      <v>4</v>
      <v>DataFrame</v>
      <v>arrayPreview</v>
      <v>1</v>
    </spb>
    <spb s="1">
      <v>11</v>
    </spb>
    <spb s="0">
      <v>3</v>
      <v>1</v>
      <v>Series</v>
      <v>arrayPreview</v>
      <v>1</v>
    </spb>
    <spb s="1">
      <v>13</v>
    </spb>
    <spb s="0">
      <v>2</v>
      <v>2</v>
      <v>DataFrame</v>
      <v>arrayPreview</v>
      <v>1</v>
    </spb>
    <spb s="1">
      <v>15</v>
    </spb>
  </spbData>
</supportingPropertyBags>
</file>

<file path=xl/richData/rdsupportingpropertybagstructure.xml><?xml version="1.0" encoding="utf-8"?>
<spbStructures xmlns="http://schemas.microsoft.com/office/spreadsheetml/2017/richdata2" count="5">
  <s>
    <k n="drw" t="i"/>
    <k n="dcol" t="i"/>
    <k n="name" t="s"/>
    <k n="array" t="s"/>
    <k n="headers" t="b"/>
  </s>
  <s>
    <k n="ArrayCardInfo" t="spb"/>
  </s>
  <s>
    <k n="_Self" t="i"/>
  </s>
  <s>
    <k n="link" t="s"/>
    <k n="logo" t="s"/>
    <k n="name" t="s"/>
  </s>
  <s>
    <k n="drw" t="i"/>
    <k n="dcol" t="i"/>
    <k n="name" t="s"/>
    <k n="array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d/mm/yyyy"/>
    </x:dxf>
    <x:dxf>
      <x:numFmt numFmtId="0" formatCode="General"/>
    </x:dxf>
  </dxfs>
  <richProperties>
    <rPr n="NumberFormat" t="s"/>
  </richProperties>
  <richStyles>
    <rSty dxfid="0"/>
    <rSty dxfid="1">
      <rpv i="0">0;-0;"None"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613"/>
  <sheetViews>
    <sheetView showGridLines="0" tabSelected="1" workbookViewId="0">
      <selection activeCell="C10" sqref="C10"/>
    </sheetView>
  </sheetViews>
  <sheetFormatPr baseColWidth="10" defaultColWidth="8.83203125" defaultRowHeight="16" x14ac:dyDescent="0.2"/>
  <cols>
    <col min="1" max="1" width="14" style="2" customWidth="1"/>
    <col min="2" max="2" width="30" style="2" customWidth="1"/>
    <col min="3" max="4" width="13" style="2" customWidth="1"/>
    <col min="5" max="5" width="16" style="2" customWidth="1"/>
    <col min="6" max="6" width="7" style="2" customWidth="1"/>
    <col min="7" max="7" width="18" style="2" customWidth="1"/>
    <col min="8" max="8" width="10" style="2" customWidth="1"/>
    <col min="9" max="9" width="18" style="2" customWidth="1"/>
    <col min="10" max="16384" width="8.83203125" style="2"/>
  </cols>
  <sheetData>
    <row r="1" spans="1:9" x14ac:dyDescent="0.2">
      <c r="A1" s="2" t="s">
        <v>0</v>
      </c>
    </row>
    <row r="2" spans="1:9" x14ac:dyDescent="0.2">
      <c r="A2" s="2" t="s">
        <v>1</v>
      </c>
    </row>
    <row r="4" spans="1:9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">
      <c r="A5" s="2" t="s">
        <v>11</v>
      </c>
      <c r="B5" s="2" t="s">
        <v>12</v>
      </c>
      <c r="C5" s="4">
        <v>45658</v>
      </c>
      <c r="D5" s="4">
        <v>45673</v>
      </c>
      <c r="E5" s="2" t="s">
        <v>13</v>
      </c>
      <c r="F5" s="2" t="s">
        <v>14</v>
      </c>
      <c r="G5" s="2" t="s">
        <v>15</v>
      </c>
      <c r="H5" s="2" t="s">
        <v>16</v>
      </c>
      <c r="I5" s="2" t="s">
        <v>17</v>
      </c>
    </row>
    <row r="6" spans="1:9" x14ac:dyDescent="0.2">
      <c r="A6" s="2" t="s">
        <v>18</v>
      </c>
      <c r="B6" s="2" t="s">
        <v>19</v>
      </c>
      <c r="C6" s="4">
        <v>45658</v>
      </c>
      <c r="D6" s="2" t="s">
        <v>20</v>
      </c>
      <c r="E6" s="2" t="s">
        <v>21</v>
      </c>
      <c r="F6" s="2" t="s">
        <v>22</v>
      </c>
      <c r="G6" s="2" t="s">
        <v>23</v>
      </c>
      <c r="H6" s="2" t="s">
        <v>16</v>
      </c>
      <c r="I6" s="2" t="s">
        <v>24</v>
      </c>
    </row>
    <row r="7" spans="1:9" x14ac:dyDescent="0.2">
      <c r="A7" s="2" t="s">
        <v>25</v>
      </c>
      <c r="B7" s="2" t="s">
        <v>26</v>
      </c>
      <c r="C7" s="2" t="s">
        <v>27</v>
      </c>
      <c r="D7" s="2" t="s">
        <v>28</v>
      </c>
      <c r="E7" s="2">
        <v>14984.27</v>
      </c>
      <c r="F7" s="2" t="s">
        <v>29</v>
      </c>
      <c r="G7" s="2" t="s">
        <v>30</v>
      </c>
      <c r="H7" s="2" t="s">
        <v>31</v>
      </c>
    </row>
    <row r="8" spans="1:9" x14ac:dyDescent="0.2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37</v>
      </c>
      <c r="G8" s="2" t="s">
        <v>23</v>
      </c>
      <c r="H8" s="2" t="s">
        <v>16</v>
      </c>
    </row>
    <row r="9" spans="1:9" x14ac:dyDescent="0.2">
      <c r="A9" s="2" t="s">
        <v>38</v>
      </c>
      <c r="B9" s="2" t="s">
        <v>39</v>
      </c>
      <c r="C9" s="4">
        <v>45661</v>
      </c>
      <c r="D9" s="2" t="s">
        <v>40</v>
      </c>
      <c r="E9" s="2">
        <v>7356.22</v>
      </c>
      <c r="F9" s="2" t="s">
        <v>37</v>
      </c>
      <c r="H9" s="2" t="s">
        <v>41</v>
      </c>
    </row>
    <row r="10" spans="1:9" x14ac:dyDescent="0.2">
      <c r="A10" s="2" t="s">
        <v>42</v>
      </c>
      <c r="B10" s="2" t="s">
        <v>43</v>
      </c>
      <c r="C10" s="2" t="s">
        <v>44</v>
      </c>
      <c r="D10" s="4">
        <v>45691</v>
      </c>
      <c r="E10" s="2" t="s">
        <v>45</v>
      </c>
      <c r="F10" s="2" t="s">
        <v>37</v>
      </c>
      <c r="G10" s="2" t="s">
        <v>46</v>
      </c>
      <c r="H10" s="2" t="s">
        <v>41</v>
      </c>
    </row>
    <row r="11" spans="1:9" x14ac:dyDescent="0.2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51</v>
      </c>
      <c r="F11" s="2" t="s">
        <v>37</v>
      </c>
      <c r="G11" s="2" t="s">
        <v>46</v>
      </c>
      <c r="H11" s="2" t="s">
        <v>41</v>
      </c>
    </row>
    <row r="12" spans="1:9" x14ac:dyDescent="0.2">
      <c r="A12" s="2" t="s">
        <v>52</v>
      </c>
      <c r="B12" s="2" t="s">
        <v>53</v>
      </c>
      <c r="C12" s="2" t="s">
        <v>54</v>
      </c>
      <c r="D12" s="2" t="s">
        <v>55</v>
      </c>
      <c r="E12" s="2" t="s">
        <v>56</v>
      </c>
      <c r="F12" s="2" t="s">
        <v>37</v>
      </c>
      <c r="G12" s="2" t="s">
        <v>57</v>
      </c>
      <c r="H12" s="2" t="s">
        <v>31</v>
      </c>
      <c r="I12" s="2" t="s">
        <v>58</v>
      </c>
    </row>
    <row r="13" spans="1:9" x14ac:dyDescent="0.2">
      <c r="A13" s="2" t="s">
        <v>59</v>
      </c>
      <c r="B13" s="2" t="s">
        <v>60</v>
      </c>
      <c r="C13" s="4">
        <v>45664</v>
      </c>
      <c r="D13" s="2" t="s">
        <v>61</v>
      </c>
      <c r="E13" s="2" t="s">
        <v>62</v>
      </c>
      <c r="F13" s="2" t="s">
        <v>37</v>
      </c>
      <c r="G13" s="2" t="s">
        <v>63</v>
      </c>
      <c r="H13" s="2" t="s">
        <v>16</v>
      </c>
      <c r="I13" s="2" t="s">
        <v>64</v>
      </c>
    </row>
    <row r="14" spans="1:9" x14ac:dyDescent="0.2">
      <c r="A14" s="2" t="s">
        <v>65</v>
      </c>
      <c r="B14" s="2" t="s">
        <v>60</v>
      </c>
      <c r="C14" s="4">
        <v>45665</v>
      </c>
      <c r="D14" s="4">
        <v>45710</v>
      </c>
      <c r="E14" s="2" t="s">
        <v>66</v>
      </c>
      <c r="F14" s="2" t="s">
        <v>37</v>
      </c>
      <c r="G14" s="2" t="s">
        <v>67</v>
      </c>
      <c r="H14" s="2" t="s">
        <v>68</v>
      </c>
    </row>
    <row r="15" spans="1:9" x14ac:dyDescent="0.2">
      <c r="A15" s="2" t="s">
        <v>69</v>
      </c>
      <c r="B15" s="2" t="s">
        <v>19</v>
      </c>
      <c r="C15" s="2" t="s">
        <v>70</v>
      </c>
      <c r="D15" s="2" t="s">
        <v>71</v>
      </c>
      <c r="E15" s="2" t="s">
        <v>72</v>
      </c>
      <c r="F15" s="2" t="s">
        <v>37</v>
      </c>
      <c r="G15" s="2" t="s">
        <v>67</v>
      </c>
      <c r="H15" s="2" t="s">
        <v>16</v>
      </c>
    </row>
    <row r="16" spans="1:9" x14ac:dyDescent="0.2">
      <c r="A16" s="2" t="s">
        <v>73</v>
      </c>
      <c r="B16" s="2" t="s">
        <v>74</v>
      </c>
      <c r="C16" s="2" t="s">
        <v>75</v>
      </c>
      <c r="D16" s="4">
        <v>45712</v>
      </c>
      <c r="E16" s="2" t="s">
        <v>76</v>
      </c>
      <c r="F16" s="2" t="s">
        <v>77</v>
      </c>
      <c r="G16" s="2" t="s">
        <v>63</v>
      </c>
      <c r="H16" s="2" t="s">
        <v>31</v>
      </c>
      <c r="I16" s="2" t="s">
        <v>58</v>
      </c>
    </row>
    <row r="17" spans="1:9" x14ac:dyDescent="0.2">
      <c r="A17" s="2" t="s">
        <v>78</v>
      </c>
      <c r="B17" s="2" t="s">
        <v>79</v>
      </c>
      <c r="C17" s="2" t="s">
        <v>80</v>
      </c>
      <c r="D17" s="4">
        <v>45713</v>
      </c>
      <c r="E17" s="2" t="s">
        <v>81</v>
      </c>
      <c r="F17" s="2" t="s">
        <v>37</v>
      </c>
      <c r="G17" s="2" t="s">
        <v>63</v>
      </c>
      <c r="H17" s="2" t="s">
        <v>82</v>
      </c>
      <c r="I17" s="2" t="s">
        <v>58</v>
      </c>
    </row>
    <row r="18" spans="1:9" x14ac:dyDescent="0.2">
      <c r="A18" s="2" t="s">
        <v>83</v>
      </c>
      <c r="B18" s="2" t="s">
        <v>84</v>
      </c>
      <c r="C18" s="4">
        <v>45668</v>
      </c>
      <c r="D18" s="4">
        <v>45713</v>
      </c>
      <c r="E18" s="2" t="s">
        <v>85</v>
      </c>
      <c r="F18" s="2" t="s">
        <v>37</v>
      </c>
      <c r="G18" s="2" t="s">
        <v>63</v>
      </c>
      <c r="H18" s="2" t="s">
        <v>41</v>
      </c>
      <c r="I18" s="2" t="s">
        <v>17</v>
      </c>
    </row>
    <row r="19" spans="1:9" x14ac:dyDescent="0.2">
      <c r="A19" s="2" t="s">
        <v>86</v>
      </c>
      <c r="B19" s="2" t="s">
        <v>48</v>
      </c>
      <c r="C19" s="4">
        <v>45668</v>
      </c>
      <c r="D19" s="2" t="s">
        <v>87</v>
      </c>
      <c r="E19" s="2" t="s">
        <v>88</v>
      </c>
      <c r="F19" s="2" t="s">
        <v>29</v>
      </c>
      <c r="G19" s="2" t="s">
        <v>46</v>
      </c>
      <c r="H19" s="2" t="s">
        <v>41</v>
      </c>
      <c r="I19" s="2" t="s">
        <v>24</v>
      </c>
    </row>
    <row r="20" spans="1:9" x14ac:dyDescent="0.2">
      <c r="A20" s="2" t="s">
        <v>89</v>
      </c>
      <c r="B20" s="2" t="s">
        <v>90</v>
      </c>
      <c r="C20" s="2" t="s">
        <v>91</v>
      </c>
      <c r="D20" s="2" t="s">
        <v>92</v>
      </c>
      <c r="E20" s="2" t="s">
        <v>93</v>
      </c>
      <c r="F20" s="2" t="s">
        <v>37</v>
      </c>
      <c r="G20" s="2" t="s">
        <v>94</v>
      </c>
      <c r="H20" s="2" t="s">
        <v>41</v>
      </c>
      <c r="I20" s="2" t="s">
        <v>58</v>
      </c>
    </row>
    <row r="21" spans="1:9" x14ac:dyDescent="0.2">
      <c r="A21" s="2" t="s">
        <v>95</v>
      </c>
      <c r="B21" s="2" t="s">
        <v>12</v>
      </c>
      <c r="C21" s="2" t="s">
        <v>96</v>
      </c>
      <c r="D21" s="4">
        <v>45685</v>
      </c>
      <c r="E21" s="2">
        <v>1749.94</v>
      </c>
      <c r="G21" s="2" t="s">
        <v>97</v>
      </c>
      <c r="H21" s="2" t="s">
        <v>41</v>
      </c>
    </row>
    <row r="22" spans="1:9" x14ac:dyDescent="0.2">
      <c r="A22" s="2" t="s">
        <v>98</v>
      </c>
      <c r="B22" s="2" t="s">
        <v>33</v>
      </c>
      <c r="C22" s="2" t="s">
        <v>99</v>
      </c>
      <c r="D22" s="2" t="s">
        <v>100</v>
      </c>
      <c r="E22" s="2" t="s">
        <v>101</v>
      </c>
      <c r="F22" s="2" t="s">
        <v>22</v>
      </c>
      <c r="G22" s="2" t="s">
        <v>67</v>
      </c>
      <c r="H22" s="2" t="s">
        <v>31</v>
      </c>
    </row>
    <row r="23" spans="1:9" x14ac:dyDescent="0.2">
      <c r="A23" s="2" t="s">
        <v>102</v>
      </c>
      <c r="B23" s="2" t="s">
        <v>103</v>
      </c>
      <c r="C23" s="4">
        <v>45671</v>
      </c>
      <c r="D23" s="2" t="s">
        <v>104</v>
      </c>
      <c r="E23" s="2">
        <v>8743.39</v>
      </c>
      <c r="G23" s="2" t="s">
        <v>67</v>
      </c>
      <c r="H23" s="2" t="s">
        <v>105</v>
      </c>
    </row>
    <row r="24" spans="1:9" x14ac:dyDescent="0.2">
      <c r="A24" s="2" t="s">
        <v>106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s">
        <v>37</v>
      </c>
      <c r="H24" s="2" t="s">
        <v>31</v>
      </c>
    </row>
    <row r="25" spans="1:9" x14ac:dyDescent="0.2">
      <c r="A25" s="2" t="s">
        <v>111</v>
      </c>
      <c r="B25" s="2" t="s">
        <v>60</v>
      </c>
      <c r="C25" s="4">
        <v>45672</v>
      </c>
      <c r="D25" s="2" t="s">
        <v>112</v>
      </c>
      <c r="E25" s="2" t="s">
        <v>113</v>
      </c>
      <c r="F25" s="2" t="s">
        <v>37</v>
      </c>
      <c r="G25" s="2" t="s">
        <v>114</v>
      </c>
      <c r="H25" s="2" t="s">
        <v>105</v>
      </c>
      <c r="I25" s="2" t="s">
        <v>17</v>
      </c>
    </row>
    <row r="26" spans="1:9" x14ac:dyDescent="0.2">
      <c r="A26" s="2" t="s">
        <v>115</v>
      </c>
      <c r="B26" s="2" t="s">
        <v>116</v>
      </c>
      <c r="C26" s="4">
        <v>45672</v>
      </c>
      <c r="D26" s="2" t="s">
        <v>112</v>
      </c>
      <c r="E26" s="2">
        <v>4904.63</v>
      </c>
      <c r="F26" s="2" t="s">
        <v>37</v>
      </c>
      <c r="G26" s="2" t="s">
        <v>63</v>
      </c>
      <c r="H26" s="2" t="s">
        <v>41</v>
      </c>
    </row>
    <row r="27" spans="1:9" x14ac:dyDescent="0.2">
      <c r="A27" s="2" t="s">
        <v>117</v>
      </c>
      <c r="B27" s="2" t="s">
        <v>118</v>
      </c>
      <c r="C27" s="4">
        <v>45672</v>
      </c>
      <c r="D27" s="2" t="s">
        <v>119</v>
      </c>
      <c r="E27" s="2" t="s">
        <v>120</v>
      </c>
      <c r="F27" s="2" t="s">
        <v>37</v>
      </c>
      <c r="G27" s="2" t="s">
        <v>121</v>
      </c>
      <c r="H27" s="2" t="s">
        <v>41</v>
      </c>
      <c r="I27" s="2" t="s">
        <v>17</v>
      </c>
    </row>
    <row r="28" spans="1:9" x14ac:dyDescent="0.2">
      <c r="A28" s="2" t="s">
        <v>122</v>
      </c>
      <c r="B28" s="2" t="s">
        <v>103</v>
      </c>
      <c r="C28" s="4">
        <v>45672</v>
      </c>
      <c r="D28" s="4">
        <v>45717</v>
      </c>
      <c r="E28" s="2">
        <v>32930.94</v>
      </c>
      <c r="F28" s="2" t="s">
        <v>37</v>
      </c>
      <c r="G28" s="2" t="s">
        <v>23</v>
      </c>
      <c r="H28" s="2" t="s">
        <v>105</v>
      </c>
    </row>
    <row r="29" spans="1:9" x14ac:dyDescent="0.2">
      <c r="A29" s="2" t="s">
        <v>123</v>
      </c>
      <c r="B29" s="2" t="s">
        <v>116</v>
      </c>
      <c r="C29" s="4">
        <v>45787</v>
      </c>
      <c r="D29" s="4">
        <v>45832</v>
      </c>
      <c r="E29" s="2">
        <v>46241.279999999999</v>
      </c>
      <c r="F29" s="2" t="s">
        <v>37</v>
      </c>
      <c r="G29" s="2" t="s">
        <v>67</v>
      </c>
      <c r="H29" s="2" t="s">
        <v>124</v>
      </c>
      <c r="I29" s="2" t="s">
        <v>64</v>
      </c>
    </row>
    <row r="30" spans="1:9" x14ac:dyDescent="0.2">
      <c r="A30" s="2" t="s">
        <v>125</v>
      </c>
      <c r="B30" s="2" t="s">
        <v>116</v>
      </c>
      <c r="C30" s="2" t="s">
        <v>126</v>
      </c>
      <c r="D30" s="2" t="s">
        <v>127</v>
      </c>
      <c r="E30" s="2" t="s">
        <v>128</v>
      </c>
      <c r="F30" s="2" t="s">
        <v>37</v>
      </c>
      <c r="H30" s="2" t="s">
        <v>105</v>
      </c>
      <c r="I30" s="2" t="s">
        <v>58</v>
      </c>
    </row>
    <row r="31" spans="1:9" x14ac:dyDescent="0.2">
      <c r="A31" s="2" t="s">
        <v>129</v>
      </c>
      <c r="B31" s="2" t="s">
        <v>103</v>
      </c>
      <c r="C31" s="4">
        <v>45672</v>
      </c>
      <c r="D31" s="4">
        <v>45717</v>
      </c>
      <c r="E31" s="2" t="s">
        <v>130</v>
      </c>
      <c r="H31" s="2" t="s">
        <v>16</v>
      </c>
    </row>
    <row r="32" spans="1:9" x14ac:dyDescent="0.2">
      <c r="A32" s="2" t="s">
        <v>131</v>
      </c>
      <c r="B32" s="2" t="s">
        <v>132</v>
      </c>
      <c r="C32" s="2" t="s">
        <v>108</v>
      </c>
      <c r="D32" s="4">
        <v>45702</v>
      </c>
      <c r="E32" s="2" t="s">
        <v>133</v>
      </c>
      <c r="F32" s="2" t="s">
        <v>37</v>
      </c>
      <c r="G32" s="2" t="s">
        <v>30</v>
      </c>
      <c r="H32" s="2" t="s">
        <v>16</v>
      </c>
      <c r="I32" s="2" t="s">
        <v>58</v>
      </c>
    </row>
    <row r="33" spans="1:9" x14ac:dyDescent="0.2">
      <c r="A33" s="2" t="s">
        <v>134</v>
      </c>
      <c r="B33" s="2" t="s">
        <v>74</v>
      </c>
      <c r="C33" s="4">
        <v>45673</v>
      </c>
      <c r="D33" s="4">
        <v>45718</v>
      </c>
      <c r="E33" s="2" t="s">
        <v>135</v>
      </c>
      <c r="F33" s="2" t="s">
        <v>37</v>
      </c>
      <c r="G33" s="2" t="s">
        <v>114</v>
      </c>
      <c r="H33" s="2" t="s">
        <v>41</v>
      </c>
    </row>
    <row r="34" spans="1:9" x14ac:dyDescent="0.2">
      <c r="A34" s="2" t="s">
        <v>136</v>
      </c>
      <c r="B34" s="2" t="s">
        <v>137</v>
      </c>
      <c r="C34" s="4">
        <v>45674</v>
      </c>
      <c r="D34" s="2" t="s">
        <v>138</v>
      </c>
      <c r="E34" s="2" t="s">
        <v>139</v>
      </c>
      <c r="G34" s="2" t="s">
        <v>23</v>
      </c>
      <c r="H34" s="2" t="s">
        <v>105</v>
      </c>
      <c r="I34" s="2" t="s">
        <v>64</v>
      </c>
    </row>
    <row r="35" spans="1:9" x14ac:dyDescent="0.2">
      <c r="A35" s="2" t="s">
        <v>140</v>
      </c>
      <c r="B35" s="2" t="s">
        <v>141</v>
      </c>
      <c r="C35" s="4">
        <v>45801</v>
      </c>
      <c r="D35" s="2" t="s">
        <v>142</v>
      </c>
      <c r="E35" s="2" t="s">
        <v>143</v>
      </c>
      <c r="F35" s="2" t="s">
        <v>37</v>
      </c>
      <c r="G35" s="2" t="s">
        <v>114</v>
      </c>
      <c r="H35" s="2" t="s">
        <v>31</v>
      </c>
      <c r="I35" s="2" t="s">
        <v>64</v>
      </c>
    </row>
    <row r="36" spans="1:9" x14ac:dyDescent="0.2">
      <c r="A36" s="2" t="s">
        <v>144</v>
      </c>
      <c r="B36" s="2" t="s">
        <v>145</v>
      </c>
      <c r="C36" s="2" t="s">
        <v>146</v>
      </c>
      <c r="D36" s="2" t="s">
        <v>147</v>
      </c>
      <c r="E36" s="2">
        <v>40204.51</v>
      </c>
      <c r="F36" s="2" t="s">
        <v>37</v>
      </c>
      <c r="G36" s="2" t="s">
        <v>63</v>
      </c>
      <c r="H36" s="2" t="s">
        <v>31</v>
      </c>
      <c r="I36" s="2" t="s">
        <v>17</v>
      </c>
    </row>
    <row r="37" spans="1:9" x14ac:dyDescent="0.2">
      <c r="A37" s="2" t="s">
        <v>148</v>
      </c>
      <c r="B37" s="2" t="s">
        <v>39</v>
      </c>
      <c r="C37" s="4">
        <v>45674</v>
      </c>
      <c r="D37" s="2" t="s">
        <v>149</v>
      </c>
      <c r="E37" s="2">
        <v>3059.54</v>
      </c>
      <c r="H37" s="2" t="s">
        <v>41</v>
      </c>
    </row>
    <row r="38" spans="1:9" x14ac:dyDescent="0.2">
      <c r="A38" s="2" t="s">
        <v>150</v>
      </c>
      <c r="B38" s="2" t="s">
        <v>74</v>
      </c>
      <c r="C38" s="4">
        <v>45676</v>
      </c>
      <c r="D38" s="2" t="s">
        <v>151</v>
      </c>
      <c r="E38" s="2" t="s">
        <v>152</v>
      </c>
      <c r="F38" s="2" t="s">
        <v>22</v>
      </c>
      <c r="G38" s="2" t="s">
        <v>114</v>
      </c>
      <c r="H38" s="2" t="s">
        <v>41</v>
      </c>
    </row>
    <row r="39" spans="1:9" x14ac:dyDescent="0.2">
      <c r="A39" s="2" t="s">
        <v>153</v>
      </c>
      <c r="B39" s="2" t="s">
        <v>12</v>
      </c>
      <c r="C39" s="4">
        <v>45678</v>
      </c>
      <c r="D39" s="4">
        <v>45693</v>
      </c>
      <c r="E39" s="2" t="s">
        <v>154</v>
      </c>
      <c r="F39" s="2" t="s">
        <v>37</v>
      </c>
      <c r="G39" s="2" t="s">
        <v>155</v>
      </c>
      <c r="H39" s="2" t="s">
        <v>105</v>
      </c>
    </row>
    <row r="40" spans="1:9" x14ac:dyDescent="0.2">
      <c r="A40" s="2" t="s">
        <v>156</v>
      </c>
      <c r="B40" s="2" t="s">
        <v>157</v>
      </c>
      <c r="C40" s="2" t="s">
        <v>158</v>
      </c>
      <c r="D40" s="2" t="s">
        <v>159</v>
      </c>
      <c r="E40" s="2" t="s">
        <v>160</v>
      </c>
      <c r="F40" s="2" t="s">
        <v>14</v>
      </c>
      <c r="G40" s="2" t="s">
        <v>63</v>
      </c>
      <c r="H40" s="2" t="s">
        <v>16</v>
      </c>
    </row>
    <row r="41" spans="1:9" x14ac:dyDescent="0.2">
      <c r="A41" s="2" t="s">
        <v>161</v>
      </c>
      <c r="B41" s="2" t="s">
        <v>141</v>
      </c>
      <c r="C41" s="2" t="s">
        <v>162</v>
      </c>
      <c r="D41" s="4">
        <v>45723</v>
      </c>
      <c r="E41" s="2" t="s">
        <v>163</v>
      </c>
      <c r="F41" s="2" t="s">
        <v>37</v>
      </c>
      <c r="G41" s="2" t="s">
        <v>63</v>
      </c>
      <c r="H41" s="2" t="s">
        <v>31</v>
      </c>
    </row>
    <row r="42" spans="1:9" x14ac:dyDescent="0.2">
      <c r="A42" s="2" t="s">
        <v>164</v>
      </c>
      <c r="B42" s="2" t="s">
        <v>165</v>
      </c>
      <c r="C42" s="2" t="s">
        <v>166</v>
      </c>
      <c r="D42" s="2" t="s">
        <v>167</v>
      </c>
      <c r="E42" s="2" t="s">
        <v>168</v>
      </c>
      <c r="F42" s="2" t="s">
        <v>37</v>
      </c>
      <c r="G42" s="2" t="s">
        <v>169</v>
      </c>
      <c r="H42" s="2" t="s">
        <v>16</v>
      </c>
    </row>
    <row r="43" spans="1:9" x14ac:dyDescent="0.2">
      <c r="A43" s="2" t="s">
        <v>170</v>
      </c>
      <c r="B43" s="2" t="s">
        <v>60</v>
      </c>
      <c r="C43" s="4">
        <v>45680</v>
      </c>
      <c r="D43" s="2" t="s">
        <v>171</v>
      </c>
      <c r="E43" s="2">
        <v>-344.94</v>
      </c>
      <c r="F43" s="2" t="s">
        <v>37</v>
      </c>
      <c r="G43" s="2" t="s">
        <v>23</v>
      </c>
      <c r="H43" s="2" t="s">
        <v>16</v>
      </c>
    </row>
    <row r="44" spans="1:9" x14ac:dyDescent="0.2">
      <c r="A44" s="2" t="s">
        <v>172</v>
      </c>
      <c r="B44" s="2" t="s">
        <v>157</v>
      </c>
      <c r="C44" s="2" t="s">
        <v>173</v>
      </c>
      <c r="D44" s="2" t="s">
        <v>174</v>
      </c>
      <c r="E44" s="2">
        <v>23344.21</v>
      </c>
      <c r="G44" s="2" t="s">
        <v>63</v>
      </c>
      <c r="H44" s="2" t="s">
        <v>31</v>
      </c>
      <c r="I44" s="2" t="s">
        <v>24</v>
      </c>
    </row>
    <row r="45" spans="1:9" x14ac:dyDescent="0.2">
      <c r="A45" s="2" t="s">
        <v>175</v>
      </c>
      <c r="B45" s="2" t="s">
        <v>116</v>
      </c>
      <c r="C45" s="4">
        <v>45680</v>
      </c>
      <c r="D45" s="2" t="s">
        <v>176</v>
      </c>
      <c r="E45" s="2" t="s">
        <v>177</v>
      </c>
      <c r="F45" s="2" t="s">
        <v>14</v>
      </c>
      <c r="G45" s="2" t="s">
        <v>67</v>
      </c>
      <c r="H45" s="2" t="s">
        <v>16</v>
      </c>
    </row>
    <row r="46" spans="1:9" x14ac:dyDescent="0.2">
      <c r="A46" s="2" t="s">
        <v>178</v>
      </c>
      <c r="B46" s="2" t="s">
        <v>53</v>
      </c>
      <c r="C46" s="4">
        <v>45681</v>
      </c>
      <c r="D46" s="4">
        <v>45711</v>
      </c>
      <c r="E46" s="2">
        <v>5408.99</v>
      </c>
      <c r="F46" s="2" t="s">
        <v>37</v>
      </c>
      <c r="G46" s="2" t="s">
        <v>57</v>
      </c>
      <c r="H46" s="2" t="s">
        <v>31</v>
      </c>
      <c r="I46" s="2" t="s">
        <v>58</v>
      </c>
    </row>
    <row r="48" spans="1:9" x14ac:dyDescent="0.2">
      <c r="A48" s="2" t="s">
        <v>179</v>
      </c>
      <c r="B48" s="2" t="s">
        <v>79</v>
      </c>
      <c r="C48" s="4">
        <v>45681</v>
      </c>
      <c r="D48" s="2" t="s">
        <v>180</v>
      </c>
      <c r="E48" s="2" t="s">
        <v>181</v>
      </c>
      <c r="F48" s="2" t="s">
        <v>37</v>
      </c>
      <c r="G48" s="2" t="s">
        <v>63</v>
      </c>
      <c r="H48" s="2" t="s">
        <v>16</v>
      </c>
    </row>
    <row r="49" spans="1:9" x14ac:dyDescent="0.2">
      <c r="A49" s="2" t="s">
        <v>182</v>
      </c>
      <c r="B49" s="2" t="s">
        <v>137</v>
      </c>
      <c r="C49" s="4">
        <v>45682</v>
      </c>
      <c r="D49" s="2" t="s">
        <v>146</v>
      </c>
      <c r="E49" s="2" t="s">
        <v>183</v>
      </c>
      <c r="F49" s="2" t="s">
        <v>37</v>
      </c>
      <c r="G49" s="2" t="s">
        <v>63</v>
      </c>
      <c r="H49" s="2" t="s">
        <v>105</v>
      </c>
      <c r="I49" s="2" t="s">
        <v>64</v>
      </c>
    </row>
    <row r="50" spans="1:9" x14ac:dyDescent="0.2">
      <c r="A50" s="2" t="s">
        <v>184</v>
      </c>
      <c r="B50" s="2" t="s">
        <v>60</v>
      </c>
      <c r="C50" s="2" t="s">
        <v>185</v>
      </c>
      <c r="D50" s="2" t="s">
        <v>186</v>
      </c>
      <c r="E50" s="2" t="s">
        <v>187</v>
      </c>
      <c r="F50" s="2" t="s">
        <v>14</v>
      </c>
      <c r="G50" s="2" t="s">
        <v>23</v>
      </c>
      <c r="H50" s="2" t="s">
        <v>105</v>
      </c>
      <c r="I50" s="2" t="s">
        <v>24</v>
      </c>
    </row>
    <row r="51" spans="1:9" x14ac:dyDescent="0.2">
      <c r="A51" s="2" t="s">
        <v>188</v>
      </c>
      <c r="B51" s="2" t="s">
        <v>141</v>
      </c>
      <c r="C51" s="2" t="s">
        <v>189</v>
      </c>
      <c r="D51" s="2" t="s">
        <v>186</v>
      </c>
      <c r="E51" s="2">
        <v>12341.22</v>
      </c>
      <c r="G51" s="2" t="s">
        <v>63</v>
      </c>
      <c r="H51" s="2" t="s">
        <v>105</v>
      </c>
    </row>
    <row r="52" spans="1:9" x14ac:dyDescent="0.2">
      <c r="A52" s="2" t="s">
        <v>190</v>
      </c>
      <c r="B52" s="2" t="s">
        <v>60</v>
      </c>
      <c r="C52" s="2" t="s">
        <v>191</v>
      </c>
      <c r="D52" s="2" t="s">
        <v>192</v>
      </c>
      <c r="E52" s="2" t="s">
        <v>193</v>
      </c>
      <c r="F52" s="2" t="s">
        <v>14</v>
      </c>
      <c r="G52" s="2" t="s">
        <v>63</v>
      </c>
      <c r="H52" s="2" t="s">
        <v>68</v>
      </c>
    </row>
    <row r="53" spans="1:9" x14ac:dyDescent="0.2">
      <c r="A53" s="2" t="s">
        <v>194</v>
      </c>
      <c r="B53" s="2" t="s">
        <v>195</v>
      </c>
      <c r="C53" s="2" t="s">
        <v>191</v>
      </c>
      <c r="D53" s="4">
        <v>45714</v>
      </c>
      <c r="E53" s="2" t="s">
        <v>196</v>
      </c>
      <c r="F53" s="2" t="s">
        <v>37</v>
      </c>
      <c r="G53" s="2" t="s">
        <v>121</v>
      </c>
      <c r="H53" s="2" t="s">
        <v>16</v>
      </c>
      <c r="I53" s="2" t="s">
        <v>64</v>
      </c>
    </row>
    <row r="54" spans="1:9" x14ac:dyDescent="0.2">
      <c r="A54" s="2" t="s">
        <v>197</v>
      </c>
      <c r="B54" s="2" t="s">
        <v>198</v>
      </c>
      <c r="C54" s="2" t="s">
        <v>199</v>
      </c>
      <c r="D54" s="4">
        <v>45729</v>
      </c>
      <c r="E54" s="2" t="s">
        <v>200</v>
      </c>
      <c r="F54" s="2" t="s">
        <v>22</v>
      </c>
      <c r="G54" s="2" t="s">
        <v>23</v>
      </c>
      <c r="H54" s="2" t="s">
        <v>16</v>
      </c>
      <c r="I54" s="2" t="s">
        <v>24</v>
      </c>
    </row>
    <row r="55" spans="1:9" x14ac:dyDescent="0.2">
      <c r="A55" s="2" t="s">
        <v>201</v>
      </c>
      <c r="B55" s="2" t="s">
        <v>60</v>
      </c>
      <c r="C55" s="2" t="s">
        <v>202</v>
      </c>
      <c r="D55" s="2" t="s">
        <v>203</v>
      </c>
      <c r="E55" s="2">
        <v>37090.589999999997</v>
      </c>
      <c r="F55" s="2" t="s">
        <v>37</v>
      </c>
      <c r="G55" s="2" t="s">
        <v>23</v>
      </c>
      <c r="H55" s="2" t="s">
        <v>16</v>
      </c>
      <c r="I55" s="2" t="s">
        <v>17</v>
      </c>
    </row>
    <row r="56" spans="1:9" x14ac:dyDescent="0.2">
      <c r="A56" s="2" t="s">
        <v>204</v>
      </c>
      <c r="B56" s="2" t="s">
        <v>19</v>
      </c>
      <c r="C56" s="2" t="s">
        <v>205</v>
      </c>
      <c r="D56" s="4">
        <v>45732</v>
      </c>
      <c r="E56" s="2">
        <v>44026.98</v>
      </c>
      <c r="G56" s="2" t="s">
        <v>114</v>
      </c>
      <c r="H56" s="2" t="s">
        <v>105</v>
      </c>
      <c r="I56" s="2" t="s">
        <v>24</v>
      </c>
    </row>
    <row r="57" spans="1:9" x14ac:dyDescent="0.2">
      <c r="A57" s="2" t="s">
        <v>206</v>
      </c>
      <c r="B57" s="2" t="s">
        <v>53</v>
      </c>
      <c r="C57" s="4">
        <v>45687</v>
      </c>
      <c r="D57" s="4">
        <v>45717</v>
      </c>
      <c r="E57" s="2" t="s">
        <v>207</v>
      </c>
      <c r="F57" s="2" t="s">
        <v>37</v>
      </c>
      <c r="G57" s="2" t="s">
        <v>57</v>
      </c>
      <c r="H57" s="2" t="s">
        <v>31</v>
      </c>
      <c r="I57" s="2" t="s">
        <v>64</v>
      </c>
    </row>
    <row r="58" spans="1:9" x14ac:dyDescent="0.2">
      <c r="A58" s="2" t="s">
        <v>208</v>
      </c>
      <c r="B58" s="2" t="s">
        <v>165</v>
      </c>
      <c r="C58" s="2" t="s">
        <v>205</v>
      </c>
      <c r="D58" s="2" t="s">
        <v>109</v>
      </c>
      <c r="E58" s="2" t="s">
        <v>209</v>
      </c>
      <c r="F58" s="2" t="s">
        <v>14</v>
      </c>
      <c r="G58" s="2" t="s">
        <v>210</v>
      </c>
      <c r="H58" s="2" t="s">
        <v>31</v>
      </c>
      <c r="I58" s="2" t="s">
        <v>24</v>
      </c>
    </row>
    <row r="59" spans="1:9" x14ac:dyDescent="0.2">
      <c r="A59" s="2" t="s">
        <v>211</v>
      </c>
      <c r="B59" s="2" t="s">
        <v>19</v>
      </c>
      <c r="C59" s="2" t="s">
        <v>212</v>
      </c>
      <c r="D59" s="2" t="s">
        <v>213</v>
      </c>
      <c r="E59" s="2" t="s">
        <v>214</v>
      </c>
      <c r="F59" s="2" t="s">
        <v>14</v>
      </c>
      <c r="G59" s="2" t="s">
        <v>63</v>
      </c>
      <c r="H59" s="2" t="s">
        <v>16</v>
      </c>
      <c r="I59" s="2" t="s">
        <v>64</v>
      </c>
    </row>
    <row r="60" spans="1:9" x14ac:dyDescent="0.2">
      <c r="A60" s="2" t="s">
        <v>215</v>
      </c>
      <c r="B60" s="2" t="s">
        <v>103</v>
      </c>
      <c r="C60" s="2" t="s">
        <v>216</v>
      </c>
      <c r="D60" s="2" t="s">
        <v>217</v>
      </c>
      <c r="E60" s="2" t="s">
        <v>218</v>
      </c>
      <c r="F60" s="2" t="s">
        <v>37</v>
      </c>
      <c r="G60" s="2" t="s">
        <v>63</v>
      </c>
      <c r="H60" s="2" t="s">
        <v>105</v>
      </c>
    </row>
    <row r="61" spans="1:9" x14ac:dyDescent="0.2">
      <c r="A61" s="2" t="s">
        <v>219</v>
      </c>
      <c r="B61" s="2" t="s">
        <v>19</v>
      </c>
      <c r="C61" s="4">
        <v>45690</v>
      </c>
      <c r="D61" s="2" t="s">
        <v>217</v>
      </c>
      <c r="E61" s="2" t="s">
        <v>220</v>
      </c>
      <c r="F61" s="2" t="s">
        <v>37</v>
      </c>
      <c r="G61" s="2" t="s">
        <v>67</v>
      </c>
      <c r="H61" s="2" t="s">
        <v>105</v>
      </c>
    </row>
    <row r="62" spans="1:9" x14ac:dyDescent="0.2">
      <c r="A62" s="2" t="s">
        <v>221</v>
      </c>
      <c r="B62" s="2" t="s">
        <v>116</v>
      </c>
      <c r="C62" s="4">
        <v>45691</v>
      </c>
      <c r="D62" s="2" t="s">
        <v>222</v>
      </c>
      <c r="E62" s="2" t="s">
        <v>223</v>
      </c>
      <c r="F62" s="2" t="s">
        <v>14</v>
      </c>
      <c r="G62" s="2" t="s">
        <v>23</v>
      </c>
      <c r="H62" s="2" t="s">
        <v>16</v>
      </c>
      <c r="I62" s="2" t="s">
        <v>17</v>
      </c>
    </row>
    <row r="63" spans="1:9" x14ac:dyDescent="0.2">
      <c r="A63" s="2" t="s">
        <v>224</v>
      </c>
      <c r="B63" s="2" t="s">
        <v>141</v>
      </c>
      <c r="C63" s="4">
        <v>45691</v>
      </c>
      <c r="D63" s="2" t="s">
        <v>225</v>
      </c>
      <c r="E63" s="2" t="s">
        <v>226</v>
      </c>
      <c r="F63" s="2" t="s">
        <v>37</v>
      </c>
      <c r="G63" s="2" t="s">
        <v>23</v>
      </c>
      <c r="H63" s="2" t="s">
        <v>41</v>
      </c>
    </row>
    <row r="64" spans="1:9" x14ac:dyDescent="0.2">
      <c r="A64" s="2" t="s">
        <v>227</v>
      </c>
      <c r="B64" s="2" t="s">
        <v>39</v>
      </c>
      <c r="C64" s="4">
        <v>45691</v>
      </c>
      <c r="D64" s="4">
        <v>45721</v>
      </c>
      <c r="E64" s="2">
        <v>7647.59</v>
      </c>
      <c r="F64" s="2" t="s">
        <v>37</v>
      </c>
      <c r="G64" s="2" t="s">
        <v>169</v>
      </c>
      <c r="H64" s="2" t="s">
        <v>105</v>
      </c>
      <c r="I64" s="2" t="s">
        <v>58</v>
      </c>
    </row>
    <row r="65" spans="1:9" x14ac:dyDescent="0.2">
      <c r="A65" s="2" t="s">
        <v>228</v>
      </c>
      <c r="B65" s="2" t="s">
        <v>60</v>
      </c>
      <c r="C65" s="4">
        <v>45691</v>
      </c>
      <c r="D65" s="4">
        <v>45736</v>
      </c>
      <c r="E65" s="2" t="s">
        <v>229</v>
      </c>
      <c r="F65" s="2" t="s">
        <v>37</v>
      </c>
      <c r="G65" s="2" t="s">
        <v>114</v>
      </c>
      <c r="H65" s="2" t="s">
        <v>41</v>
      </c>
      <c r="I65" s="2" t="s">
        <v>58</v>
      </c>
    </row>
    <row r="66" spans="1:9" x14ac:dyDescent="0.2">
      <c r="A66" s="2" t="s">
        <v>230</v>
      </c>
      <c r="B66" s="2" t="s">
        <v>60</v>
      </c>
      <c r="C66" s="4">
        <v>45692</v>
      </c>
      <c r="D66" s="4">
        <v>45737</v>
      </c>
      <c r="E66" s="2" t="s">
        <v>231</v>
      </c>
      <c r="F66" s="2" t="s">
        <v>14</v>
      </c>
      <c r="G66" s="2" t="s">
        <v>67</v>
      </c>
      <c r="H66" s="2" t="s">
        <v>31</v>
      </c>
      <c r="I66" s="2" t="s">
        <v>58</v>
      </c>
    </row>
    <row r="67" spans="1:9" x14ac:dyDescent="0.2">
      <c r="A67" s="2" t="s">
        <v>232</v>
      </c>
      <c r="B67" s="2" t="s">
        <v>84</v>
      </c>
      <c r="C67" s="2" t="s">
        <v>233</v>
      </c>
      <c r="D67" s="2" t="s">
        <v>234</v>
      </c>
      <c r="E67" s="2" t="s">
        <v>235</v>
      </c>
      <c r="F67" s="2" t="s">
        <v>37</v>
      </c>
      <c r="H67" s="2" t="s">
        <v>41</v>
      </c>
      <c r="I67" s="2" t="s">
        <v>17</v>
      </c>
    </row>
    <row r="68" spans="1:9" x14ac:dyDescent="0.2">
      <c r="A68" s="2" t="s">
        <v>236</v>
      </c>
      <c r="B68" s="2" t="s">
        <v>198</v>
      </c>
      <c r="C68" s="2" t="s">
        <v>55</v>
      </c>
      <c r="D68" s="4">
        <v>45739</v>
      </c>
      <c r="E68" s="2" t="s">
        <v>237</v>
      </c>
      <c r="F68" s="2" t="s">
        <v>37</v>
      </c>
      <c r="G68" s="2" t="s">
        <v>67</v>
      </c>
      <c r="H68" s="2" t="s">
        <v>16</v>
      </c>
      <c r="I68" s="2" t="s">
        <v>24</v>
      </c>
    </row>
    <row r="69" spans="1:9" x14ac:dyDescent="0.2">
      <c r="A69" s="2" t="s">
        <v>238</v>
      </c>
      <c r="B69" s="2" t="s">
        <v>107</v>
      </c>
      <c r="C69" s="2" t="s">
        <v>239</v>
      </c>
      <c r="D69" s="2" t="s">
        <v>240</v>
      </c>
      <c r="E69" s="2">
        <v>44533.87</v>
      </c>
      <c r="G69" s="2" t="s">
        <v>23</v>
      </c>
      <c r="H69" s="2" t="s">
        <v>105</v>
      </c>
    </row>
    <row r="70" spans="1:9" x14ac:dyDescent="0.2">
      <c r="A70" s="2" t="s">
        <v>241</v>
      </c>
      <c r="B70" s="2" t="s">
        <v>165</v>
      </c>
      <c r="C70" s="2" t="s">
        <v>242</v>
      </c>
      <c r="D70" s="4">
        <v>45725</v>
      </c>
      <c r="E70" s="2" t="s">
        <v>243</v>
      </c>
      <c r="F70" s="2" t="s">
        <v>37</v>
      </c>
      <c r="G70" s="2" t="s">
        <v>57</v>
      </c>
      <c r="H70" s="2" t="s">
        <v>105</v>
      </c>
      <c r="I70" s="2" t="s">
        <v>17</v>
      </c>
    </row>
    <row r="71" spans="1:9" x14ac:dyDescent="0.2">
      <c r="A71" s="2" t="s">
        <v>244</v>
      </c>
      <c r="B71" s="2" t="s">
        <v>53</v>
      </c>
      <c r="C71" s="2" t="s">
        <v>245</v>
      </c>
      <c r="D71" s="4">
        <v>45726</v>
      </c>
      <c r="E71" s="2" t="s">
        <v>246</v>
      </c>
      <c r="F71" s="2" t="s">
        <v>14</v>
      </c>
      <c r="G71" s="2" t="s">
        <v>210</v>
      </c>
      <c r="H71" s="2" t="s">
        <v>41</v>
      </c>
    </row>
    <row r="72" spans="1:9" x14ac:dyDescent="0.2">
      <c r="A72" s="2" t="s">
        <v>247</v>
      </c>
      <c r="B72" s="2" t="s">
        <v>26</v>
      </c>
      <c r="C72" s="4">
        <v>45696</v>
      </c>
      <c r="D72" s="4">
        <v>45726</v>
      </c>
      <c r="E72" s="2" t="s">
        <v>248</v>
      </c>
      <c r="F72" s="2" t="s">
        <v>37</v>
      </c>
      <c r="G72" s="2" t="s">
        <v>249</v>
      </c>
      <c r="H72" s="2" t="s">
        <v>105</v>
      </c>
      <c r="I72" s="2" t="s">
        <v>17</v>
      </c>
    </row>
    <row r="73" spans="1:9" x14ac:dyDescent="0.2">
      <c r="A73" s="2" t="s">
        <v>250</v>
      </c>
      <c r="B73" s="2" t="s">
        <v>251</v>
      </c>
      <c r="C73" s="2" t="s">
        <v>252</v>
      </c>
      <c r="D73" s="2" t="s">
        <v>253</v>
      </c>
      <c r="E73" s="2">
        <v>3767.75</v>
      </c>
      <c r="F73" s="2" t="s">
        <v>37</v>
      </c>
      <c r="G73" s="2" t="s">
        <v>254</v>
      </c>
      <c r="H73" s="2" t="s">
        <v>16</v>
      </c>
      <c r="I73" s="2" t="s">
        <v>24</v>
      </c>
    </row>
    <row r="74" spans="1:9" x14ac:dyDescent="0.2">
      <c r="A74" s="2" t="s">
        <v>255</v>
      </c>
      <c r="B74" s="2" t="s">
        <v>116</v>
      </c>
      <c r="C74" s="2" t="s">
        <v>256</v>
      </c>
      <c r="D74" s="2" t="s">
        <v>257</v>
      </c>
      <c r="E74" s="2" t="s">
        <v>258</v>
      </c>
      <c r="F74" s="2" t="s">
        <v>37</v>
      </c>
      <c r="G74" s="2" t="s">
        <v>67</v>
      </c>
      <c r="H74" s="2" t="s">
        <v>16</v>
      </c>
      <c r="I74" s="2" t="s">
        <v>24</v>
      </c>
    </row>
    <row r="75" spans="1:9" x14ac:dyDescent="0.2">
      <c r="A75" s="2" t="s">
        <v>259</v>
      </c>
      <c r="B75" s="2" t="s">
        <v>90</v>
      </c>
      <c r="C75" s="2" t="s">
        <v>92</v>
      </c>
      <c r="D75" s="2" t="s">
        <v>260</v>
      </c>
      <c r="E75" s="2" t="s">
        <v>261</v>
      </c>
      <c r="F75" s="2" t="s">
        <v>37</v>
      </c>
      <c r="G75" s="2" t="s">
        <v>94</v>
      </c>
      <c r="H75" s="2" t="s">
        <v>16</v>
      </c>
    </row>
    <row r="76" spans="1:9" x14ac:dyDescent="0.2">
      <c r="A76" s="2" t="s">
        <v>262</v>
      </c>
      <c r="B76" s="2" t="s">
        <v>79</v>
      </c>
      <c r="C76" s="2" t="s">
        <v>92</v>
      </c>
      <c r="D76" s="4">
        <v>45744</v>
      </c>
      <c r="E76" s="2">
        <v>13700.34</v>
      </c>
      <c r="F76" s="2" t="s">
        <v>37</v>
      </c>
      <c r="G76" s="2" t="s">
        <v>23</v>
      </c>
      <c r="H76" s="2" t="s">
        <v>105</v>
      </c>
    </row>
    <row r="77" spans="1:9" x14ac:dyDescent="0.2">
      <c r="A77" s="2" t="s">
        <v>263</v>
      </c>
      <c r="B77" s="2" t="s">
        <v>103</v>
      </c>
      <c r="C77" s="2" t="s">
        <v>264</v>
      </c>
      <c r="D77" s="4">
        <v>45745</v>
      </c>
      <c r="E77" s="2" t="s">
        <v>265</v>
      </c>
      <c r="F77" s="2" t="s">
        <v>29</v>
      </c>
      <c r="H77" s="2" t="s">
        <v>31</v>
      </c>
    </row>
    <row r="78" spans="1:9" x14ac:dyDescent="0.2">
      <c r="A78" s="2" t="s">
        <v>266</v>
      </c>
      <c r="B78" s="2" t="s">
        <v>267</v>
      </c>
      <c r="C78" s="4">
        <v>45700</v>
      </c>
      <c r="D78" s="4">
        <v>45730</v>
      </c>
      <c r="E78" s="2" t="s">
        <v>268</v>
      </c>
      <c r="F78" s="2" t="s">
        <v>37</v>
      </c>
      <c r="G78" s="2" t="s">
        <v>94</v>
      </c>
      <c r="H78" s="2" t="s">
        <v>105</v>
      </c>
      <c r="I78" s="2" t="s">
        <v>58</v>
      </c>
    </row>
    <row r="79" spans="1:9" x14ac:dyDescent="0.2">
      <c r="A79" s="2" t="s">
        <v>269</v>
      </c>
      <c r="B79" s="2" t="s">
        <v>84</v>
      </c>
      <c r="C79" s="4">
        <v>45701</v>
      </c>
      <c r="D79" s="4">
        <v>45746</v>
      </c>
      <c r="E79" s="2" t="s">
        <v>270</v>
      </c>
      <c r="F79" s="2" t="s">
        <v>37</v>
      </c>
      <c r="G79" s="2" t="s">
        <v>23</v>
      </c>
      <c r="H79" s="2" t="s">
        <v>41</v>
      </c>
      <c r="I79" s="2" t="s">
        <v>58</v>
      </c>
    </row>
    <row r="80" spans="1:9" x14ac:dyDescent="0.2">
      <c r="A80" s="2" t="s">
        <v>271</v>
      </c>
      <c r="B80" s="2" t="s">
        <v>272</v>
      </c>
      <c r="C80" s="2" t="s">
        <v>273</v>
      </c>
      <c r="D80" s="2" t="s">
        <v>100</v>
      </c>
      <c r="E80" s="2" t="s">
        <v>274</v>
      </c>
      <c r="G80" s="2" t="s">
        <v>275</v>
      </c>
      <c r="H80" s="2" t="s">
        <v>105</v>
      </c>
    </row>
    <row r="81" spans="1:9" x14ac:dyDescent="0.2">
      <c r="A81" s="2" t="s">
        <v>276</v>
      </c>
      <c r="B81" s="2" t="s">
        <v>116</v>
      </c>
      <c r="C81" s="4">
        <v>45702</v>
      </c>
      <c r="D81" s="4">
        <v>45747</v>
      </c>
      <c r="E81" s="2" t="s">
        <v>277</v>
      </c>
      <c r="F81" s="2" t="s">
        <v>29</v>
      </c>
      <c r="G81" s="2" t="s">
        <v>114</v>
      </c>
      <c r="H81" s="2" t="s">
        <v>16</v>
      </c>
      <c r="I81" s="2" t="s">
        <v>64</v>
      </c>
    </row>
    <row r="82" spans="1:9" x14ac:dyDescent="0.2">
      <c r="A82" s="2" t="s">
        <v>278</v>
      </c>
      <c r="B82" s="2" t="s">
        <v>107</v>
      </c>
      <c r="C82" s="2" t="s">
        <v>279</v>
      </c>
      <c r="D82" s="2" t="s">
        <v>280</v>
      </c>
      <c r="E82" s="2" t="s">
        <v>281</v>
      </c>
      <c r="F82" s="2" t="s">
        <v>37</v>
      </c>
      <c r="G82" s="2" t="s">
        <v>114</v>
      </c>
      <c r="H82" s="2" t="s">
        <v>16</v>
      </c>
    </row>
    <row r="83" spans="1:9" x14ac:dyDescent="0.2">
      <c r="A83" s="2" t="s">
        <v>282</v>
      </c>
      <c r="B83" s="2" t="s">
        <v>84</v>
      </c>
      <c r="C83" s="4">
        <v>45702</v>
      </c>
      <c r="D83" s="4">
        <v>45747</v>
      </c>
      <c r="E83" s="2">
        <v>31557.69</v>
      </c>
      <c r="F83" s="2" t="s">
        <v>37</v>
      </c>
      <c r="G83" s="2" t="s">
        <v>67</v>
      </c>
      <c r="H83" s="2" t="s">
        <v>41</v>
      </c>
      <c r="I83" s="2" t="s">
        <v>24</v>
      </c>
    </row>
    <row r="84" spans="1:9" x14ac:dyDescent="0.2">
      <c r="A84" s="2" t="s">
        <v>283</v>
      </c>
      <c r="B84" s="2" t="s">
        <v>60</v>
      </c>
      <c r="C84" s="2" t="s">
        <v>284</v>
      </c>
      <c r="D84" s="2" t="s">
        <v>285</v>
      </c>
      <c r="E84" s="2" t="s">
        <v>286</v>
      </c>
      <c r="F84" s="2" t="s">
        <v>37</v>
      </c>
      <c r="G84" s="2" t="s">
        <v>114</v>
      </c>
      <c r="H84" s="2" t="s">
        <v>41</v>
      </c>
    </row>
    <row r="85" spans="1:9" x14ac:dyDescent="0.2">
      <c r="A85" s="2" t="s">
        <v>287</v>
      </c>
      <c r="B85" s="2" t="s">
        <v>43</v>
      </c>
      <c r="C85" s="2" t="s">
        <v>288</v>
      </c>
      <c r="D85" s="4">
        <v>45734</v>
      </c>
      <c r="E85" s="2" t="s">
        <v>289</v>
      </c>
      <c r="F85" s="2" t="s">
        <v>37</v>
      </c>
      <c r="G85" s="2" t="s">
        <v>210</v>
      </c>
      <c r="H85" s="2" t="s">
        <v>105</v>
      </c>
    </row>
    <row r="86" spans="1:9" x14ac:dyDescent="0.2">
      <c r="A86" s="2" t="s">
        <v>290</v>
      </c>
      <c r="B86" s="2" t="s">
        <v>116</v>
      </c>
      <c r="C86" s="4">
        <v>45704</v>
      </c>
      <c r="D86" s="2" t="s">
        <v>291</v>
      </c>
      <c r="E86" s="2" t="s">
        <v>292</v>
      </c>
      <c r="F86" s="2" t="s">
        <v>37</v>
      </c>
      <c r="G86" s="2" t="s">
        <v>23</v>
      </c>
      <c r="H86" s="2" t="s">
        <v>105</v>
      </c>
      <c r="I86" s="2" t="s">
        <v>17</v>
      </c>
    </row>
    <row r="87" spans="1:9" x14ac:dyDescent="0.2">
      <c r="A87" s="2" t="s">
        <v>293</v>
      </c>
      <c r="B87" s="2" t="s">
        <v>74</v>
      </c>
      <c r="C87" s="4">
        <v>45704</v>
      </c>
      <c r="D87" s="2" t="s">
        <v>291</v>
      </c>
      <c r="E87" s="2" t="s">
        <v>294</v>
      </c>
      <c r="F87" s="2" t="s">
        <v>37</v>
      </c>
      <c r="G87" s="2" t="s">
        <v>67</v>
      </c>
      <c r="H87" s="2" t="s">
        <v>16</v>
      </c>
    </row>
    <row r="88" spans="1:9" x14ac:dyDescent="0.2">
      <c r="A88" s="2" t="s">
        <v>295</v>
      </c>
      <c r="B88" s="2" t="s">
        <v>296</v>
      </c>
      <c r="C88" s="2" t="s">
        <v>297</v>
      </c>
      <c r="D88" s="4">
        <v>45734</v>
      </c>
      <c r="E88" s="2" t="s">
        <v>298</v>
      </c>
      <c r="F88" s="2" t="s">
        <v>22</v>
      </c>
      <c r="G88" s="2" t="s">
        <v>299</v>
      </c>
      <c r="H88" s="2" t="s">
        <v>105</v>
      </c>
    </row>
    <row r="89" spans="1:9" x14ac:dyDescent="0.2">
      <c r="A89" s="2" t="s">
        <v>300</v>
      </c>
      <c r="B89" s="2" t="s">
        <v>90</v>
      </c>
      <c r="C89" s="4">
        <v>45704</v>
      </c>
      <c r="D89" s="4">
        <v>45734</v>
      </c>
      <c r="E89" s="2" t="s">
        <v>301</v>
      </c>
      <c r="F89" s="2" t="s">
        <v>37</v>
      </c>
      <c r="H89" s="2" t="s">
        <v>31</v>
      </c>
      <c r="I89" s="2" t="s">
        <v>64</v>
      </c>
    </row>
    <row r="90" spans="1:9" x14ac:dyDescent="0.2">
      <c r="A90" s="2" t="s">
        <v>302</v>
      </c>
      <c r="B90" s="2" t="s">
        <v>103</v>
      </c>
      <c r="C90" s="2" t="s">
        <v>297</v>
      </c>
      <c r="D90" s="4">
        <v>45749</v>
      </c>
      <c r="E90" s="2" t="s">
        <v>303</v>
      </c>
      <c r="F90" s="2" t="s">
        <v>37</v>
      </c>
      <c r="G90" s="2" t="s">
        <v>67</v>
      </c>
      <c r="H90" s="2" t="s">
        <v>304</v>
      </c>
      <c r="I90" s="2" t="s">
        <v>64</v>
      </c>
    </row>
    <row r="91" spans="1:9" x14ac:dyDescent="0.2">
      <c r="A91" s="2" t="s">
        <v>305</v>
      </c>
      <c r="B91" s="2" t="s">
        <v>195</v>
      </c>
      <c r="C91" s="4">
        <v>45706</v>
      </c>
      <c r="D91" s="4">
        <v>45736</v>
      </c>
      <c r="E91" s="2" t="s">
        <v>306</v>
      </c>
      <c r="F91" s="2" t="s">
        <v>14</v>
      </c>
      <c r="G91" s="2" t="s">
        <v>299</v>
      </c>
      <c r="H91" s="2" t="s">
        <v>31</v>
      </c>
    </row>
    <row r="92" spans="1:9" x14ac:dyDescent="0.2">
      <c r="A92" s="2" t="s">
        <v>307</v>
      </c>
      <c r="B92" s="2" t="s">
        <v>308</v>
      </c>
      <c r="C92" s="2" t="s">
        <v>309</v>
      </c>
      <c r="D92" s="2" t="s">
        <v>310</v>
      </c>
      <c r="E92" s="2" t="s">
        <v>311</v>
      </c>
      <c r="F92" s="2" t="s">
        <v>37</v>
      </c>
      <c r="G92" s="2" t="s">
        <v>312</v>
      </c>
      <c r="H92" s="2" t="s">
        <v>105</v>
      </c>
      <c r="I92" s="2" t="s">
        <v>24</v>
      </c>
    </row>
    <row r="93" spans="1:9" x14ac:dyDescent="0.2">
      <c r="A93" s="2" t="s">
        <v>313</v>
      </c>
      <c r="B93" s="2" t="s">
        <v>60</v>
      </c>
      <c r="C93" s="2" t="s">
        <v>314</v>
      </c>
      <c r="D93" s="4">
        <v>45753</v>
      </c>
      <c r="E93" s="2" t="s">
        <v>315</v>
      </c>
      <c r="F93" s="2" t="s">
        <v>37</v>
      </c>
      <c r="H93" s="2" t="s">
        <v>31</v>
      </c>
    </row>
    <row r="94" spans="1:9" x14ac:dyDescent="0.2">
      <c r="A94" s="2" t="s">
        <v>316</v>
      </c>
      <c r="B94" s="2" t="s">
        <v>79</v>
      </c>
      <c r="C94" s="2" t="s">
        <v>317</v>
      </c>
      <c r="D94" s="4">
        <v>45754</v>
      </c>
      <c r="E94" s="2" t="s">
        <v>318</v>
      </c>
      <c r="F94" s="2" t="s">
        <v>29</v>
      </c>
      <c r="G94" s="2" t="s">
        <v>23</v>
      </c>
      <c r="H94" s="2" t="s">
        <v>16</v>
      </c>
    </row>
    <row r="95" spans="1:9" x14ac:dyDescent="0.2">
      <c r="A95" s="2" t="s">
        <v>319</v>
      </c>
      <c r="B95" s="2" t="s">
        <v>90</v>
      </c>
      <c r="C95" s="2" t="s">
        <v>61</v>
      </c>
      <c r="D95" s="2" t="s">
        <v>320</v>
      </c>
      <c r="E95" s="2" t="s">
        <v>321</v>
      </c>
      <c r="F95" s="2" t="s">
        <v>37</v>
      </c>
      <c r="G95" s="2" t="s">
        <v>249</v>
      </c>
      <c r="H95" s="2" t="s">
        <v>16</v>
      </c>
    </row>
    <row r="96" spans="1:9" x14ac:dyDescent="0.2">
      <c r="A96" s="2" t="s">
        <v>322</v>
      </c>
      <c r="B96" s="2" t="s">
        <v>132</v>
      </c>
      <c r="C96" s="2" t="s">
        <v>323</v>
      </c>
      <c r="D96" s="2" t="s">
        <v>324</v>
      </c>
      <c r="E96" s="2" t="s">
        <v>325</v>
      </c>
      <c r="F96" s="2" t="s">
        <v>37</v>
      </c>
      <c r="G96" s="2" t="s">
        <v>30</v>
      </c>
      <c r="H96" s="2" t="s">
        <v>41</v>
      </c>
    </row>
    <row r="97" spans="1:9" x14ac:dyDescent="0.2">
      <c r="A97" s="2" t="s">
        <v>326</v>
      </c>
      <c r="B97" s="2" t="s">
        <v>157</v>
      </c>
      <c r="C97" s="4">
        <v>45711</v>
      </c>
      <c r="D97" s="4">
        <v>45756</v>
      </c>
      <c r="E97" s="2" t="s">
        <v>327</v>
      </c>
      <c r="F97" s="2" t="s">
        <v>37</v>
      </c>
      <c r="G97" s="2" t="s">
        <v>114</v>
      </c>
      <c r="H97" s="2" t="s">
        <v>31</v>
      </c>
      <c r="I97" s="2" t="s">
        <v>64</v>
      </c>
    </row>
    <row r="98" spans="1:9" x14ac:dyDescent="0.2">
      <c r="A98" s="2" t="s">
        <v>328</v>
      </c>
      <c r="B98" s="2" t="s">
        <v>74</v>
      </c>
      <c r="C98" s="4">
        <v>45712</v>
      </c>
      <c r="D98" s="4">
        <v>45757</v>
      </c>
      <c r="E98" s="2" t="s">
        <v>329</v>
      </c>
      <c r="G98" s="2" t="s">
        <v>23</v>
      </c>
      <c r="H98" s="2" t="s">
        <v>31</v>
      </c>
      <c r="I98" s="2" t="s">
        <v>17</v>
      </c>
    </row>
    <row r="99" spans="1:9" x14ac:dyDescent="0.2">
      <c r="A99" s="2" t="s">
        <v>330</v>
      </c>
      <c r="B99" s="2" t="s">
        <v>107</v>
      </c>
      <c r="C99" s="2" t="s">
        <v>331</v>
      </c>
      <c r="D99" s="2" t="s">
        <v>332</v>
      </c>
      <c r="E99" s="2" t="s">
        <v>333</v>
      </c>
      <c r="F99" s="2" t="s">
        <v>37</v>
      </c>
      <c r="G99" s="2" t="s">
        <v>67</v>
      </c>
      <c r="H99" s="2" t="s">
        <v>16</v>
      </c>
    </row>
    <row r="100" spans="1:9" x14ac:dyDescent="0.2">
      <c r="A100" s="2" t="s">
        <v>334</v>
      </c>
      <c r="B100" s="2" t="s">
        <v>79</v>
      </c>
      <c r="C100" s="2" t="s">
        <v>335</v>
      </c>
      <c r="D100" s="4">
        <v>45759</v>
      </c>
      <c r="E100" s="2" t="s">
        <v>336</v>
      </c>
      <c r="F100" s="2" t="s">
        <v>37</v>
      </c>
      <c r="G100" s="2" t="s">
        <v>114</v>
      </c>
      <c r="H100" s="2" t="s">
        <v>105</v>
      </c>
      <c r="I100" s="2" t="s">
        <v>24</v>
      </c>
    </row>
    <row r="101" spans="1:9" x14ac:dyDescent="0.2">
      <c r="A101" s="2" t="s">
        <v>337</v>
      </c>
      <c r="B101" s="2" t="s">
        <v>48</v>
      </c>
      <c r="C101" s="4">
        <v>45714</v>
      </c>
      <c r="D101" s="4">
        <v>45744</v>
      </c>
      <c r="E101" s="2">
        <v>6213</v>
      </c>
      <c r="F101" s="2" t="s">
        <v>37</v>
      </c>
      <c r="G101" s="2" t="s">
        <v>210</v>
      </c>
      <c r="H101" s="2" t="s">
        <v>105</v>
      </c>
      <c r="I101" s="2" t="s">
        <v>58</v>
      </c>
    </row>
    <row r="102" spans="1:9" x14ac:dyDescent="0.2">
      <c r="A102" s="2" t="s">
        <v>338</v>
      </c>
      <c r="B102" s="2" t="s">
        <v>84</v>
      </c>
      <c r="C102" s="4">
        <v>45715</v>
      </c>
      <c r="D102" s="4">
        <v>45760</v>
      </c>
      <c r="E102" s="2" t="s">
        <v>339</v>
      </c>
      <c r="F102" s="2" t="s">
        <v>37</v>
      </c>
      <c r="G102" s="2" t="s">
        <v>114</v>
      </c>
      <c r="H102" s="2" t="s">
        <v>16</v>
      </c>
    </row>
    <row r="103" spans="1:9" x14ac:dyDescent="0.2">
      <c r="A103" s="2" t="s">
        <v>340</v>
      </c>
      <c r="B103" s="2" t="s">
        <v>267</v>
      </c>
      <c r="C103" s="4">
        <v>45716</v>
      </c>
      <c r="D103" s="2" t="s">
        <v>341</v>
      </c>
      <c r="E103" s="2" t="s">
        <v>342</v>
      </c>
      <c r="F103" s="2" t="s">
        <v>37</v>
      </c>
      <c r="G103" s="2" t="s">
        <v>94</v>
      </c>
      <c r="H103" s="2" t="s">
        <v>41</v>
      </c>
    </row>
    <row r="104" spans="1:9" x14ac:dyDescent="0.2">
      <c r="A104" s="2" t="s">
        <v>343</v>
      </c>
      <c r="B104" s="2" t="s">
        <v>84</v>
      </c>
      <c r="C104" s="4">
        <v>45717</v>
      </c>
      <c r="D104" s="2" t="s">
        <v>344</v>
      </c>
      <c r="E104" s="2">
        <v>19983.689999999999</v>
      </c>
      <c r="F104" s="2" t="s">
        <v>14</v>
      </c>
      <c r="G104" s="2" t="s">
        <v>67</v>
      </c>
      <c r="H104" s="2" t="s">
        <v>16</v>
      </c>
    </row>
    <row r="105" spans="1:9" x14ac:dyDescent="0.2">
      <c r="A105" s="2" t="s">
        <v>345</v>
      </c>
      <c r="B105" s="2" t="s">
        <v>60</v>
      </c>
      <c r="C105" s="2" t="s">
        <v>346</v>
      </c>
      <c r="D105" s="2" t="s">
        <v>347</v>
      </c>
      <c r="E105" s="2">
        <v>26525.040000000001</v>
      </c>
      <c r="F105" s="2" t="s">
        <v>22</v>
      </c>
      <c r="G105" s="2" t="s">
        <v>63</v>
      </c>
      <c r="H105" s="2" t="s">
        <v>31</v>
      </c>
      <c r="I105" s="2" t="s">
        <v>24</v>
      </c>
    </row>
    <row r="106" spans="1:9" x14ac:dyDescent="0.2">
      <c r="A106" s="2" t="s">
        <v>348</v>
      </c>
      <c r="B106" s="2" t="s">
        <v>103</v>
      </c>
      <c r="C106" s="4">
        <v>45718</v>
      </c>
      <c r="D106" s="2" t="s">
        <v>349</v>
      </c>
      <c r="E106" s="2" t="s">
        <v>350</v>
      </c>
      <c r="G106" s="2" t="s">
        <v>114</v>
      </c>
      <c r="H106" s="2" t="s">
        <v>31</v>
      </c>
    </row>
    <row r="107" spans="1:9" x14ac:dyDescent="0.2">
      <c r="A107" s="2" t="s">
        <v>351</v>
      </c>
      <c r="B107" s="2" t="s">
        <v>33</v>
      </c>
      <c r="C107" s="2" t="s">
        <v>352</v>
      </c>
      <c r="D107" s="4">
        <v>45841</v>
      </c>
      <c r="E107" s="2" t="s">
        <v>353</v>
      </c>
      <c r="F107" s="2" t="s">
        <v>37</v>
      </c>
      <c r="G107" s="2" t="s">
        <v>114</v>
      </c>
      <c r="H107" s="2" t="s">
        <v>16</v>
      </c>
      <c r="I107" s="2" t="s">
        <v>64</v>
      </c>
    </row>
    <row r="108" spans="1:9" x14ac:dyDescent="0.2">
      <c r="A108" s="2" t="s">
        <v>354</v>
      </c>
      <c r="B108" s="2" t="s">
        <v>157</v>
      </c>
      <c r="C108" s="2" t="s">
        <v>346</v>
      </c>
      <c r="D108" s="2" t="s">
        <v>355</v>
      </c>
      <c r="E108" s="2">
        <v>28123.45</v>
      </c>
      <c r="F108" s="2" t="s">
        <v>37</v>
      </c>
      <c r="G108" s="2" t="s">
        <v>67</v>
      </c>
      <c r="H108" s="2" t="s">
        <v>31</v>
      </c>
    </row>
    <row r="109" spans="1:9" x14ac:dyDescent="0.2">
      <c r="A109" s="2" t="s">
        <v>356</v>
      </c>
      <c r="B109" s="2" t="s">
        <v>79</v>
      </c>
      <c r="C109" s="4">
        <v>45719</v>
      </c>
      <c r="D109" s="4">
        <v>45764</v>
      </c>
      <c r="E109" s="2" t="s">
        <v>357</v>
      </c>
      <c r="F109" s="2" t="s">
        <v>14</v>
      </c>
      <c r="G109" s="2" t="s">
        <v>23</v>
      </c>
      <c r="H109" s="2" t="s">
        <v>31</v>
      </c>
      <c r="I109" s="2" t="s">
        <v>64</v>
      </c>
    </row>
    <row r="110" spans="1:9" x14ac:dyDescent="0.2">
      <c r="A110" s="2" t="s">
        <v>358</v>
      </c>
      <c r="B110" s="2" t="s">
        <v>79</v>
      </c>
      <c r="C110" s="4">
        <v>45719</v>
      </c>
      <c r="D110" s="2" t="s">
        <v>359</v>
      </c>
      <c r="E110" s="2">
        <v>35080.559999999998</v>
      </c>
      <c r="F110" s="2" t="s">
        <v>37</v>
      </c>
      <c r="G110" s="2" t="s">
        <v>63</v>
      </c>
      <c r="H110" s="2" t="s">
        <v>16</v>
      </c>
    </row>
    <row r="111" spans="1:9" x14ac:dyDescent="0.2">
      <c r="A111" s="2" t="s">
        <v>360</v>
      </c>
      <c r="B111" s="2" t="s">
        <v>74</v>
      </c>
      <c r="C111" s="2" t="s">
        <v>361</v>
      </c>
      <c r="D111" s="4">
        <v>45764</v>
      </c>
      <c r="E111" s="2">
        <v>46115.3</v>
      </c>
      <c r="F111" s="2" t="s">
        <v>77</v>
      </c>
      <c r="G111" s="2" t="s">
        <v>23</v>
      </c>
      <c r="H111" s="2" t="s">
        <v>41</v>
      </c>
      <c r="I111" s="2" t="s">
        <v>24</v>
      </c>
    </row>
    <row r="112" spans="1:9" x14ac:dyDescent="0.2">
      <c r="A112" s="2" t="s">
        <v>362</v>
      </c>
      <c r="B112" s="2" t="s">
        <v>103</v>
      </c>
      <c r="C112" s="4">
        <v>45720</v>
      </c>
      <c r="D112" s="2" t="s">
        <v>363</v>
      </c>
      <c r="E112" s="2" t="s">
        <v>364</v>
      </c>
      <c r="F112" s="2" t="s">
        <v>37</v>
      </c>
      <c r="G112" s="2" t="s">
        <v>114</v>
      </c>
      <c r="H112" s="2" t="s">
        <v>16</v>
      </c>
    </row>
    <row r="113" spans="1:9" x14ac:dyDescent="0.2">
      <c r="A113" s="2" t="s">
        <v>365</v>
      </c>
      <c r="B113" s="2" t="s">
        <v>116</v>
      </c>
      <c r="C113" s="2" t="s">
        <v>366</v>
      </c>
      <c r="D113" s="4">
        <v>45765</v>
      </c>
      <c r="E113" s="2" t="s">
        <v>367</v>
      </c>
      <c r="F113" s="2" t="s">
        <v>37</v>
      </c>
      <c r="G113" s="2" t="s">
        <v>23</v>
      </c>
      <c r="H113" s="2" t="s">
        <v>31</v>
      </c>
      <c r="I113" s="2" t="s">
        <v>58</v>
      </c>
    </row>
    <row r="114" spans="1:9" x14ac:dyDescent="0.2">
      <c r="A114" s="2" t="s">
        <v>368</v>
      </c>
      <c r="B114" s="2" t="s">
        <v>308</v>
      </c>
      <c r="C114" s="2" t="s">
        <v>310</v>
      </c>
      <c r="D114" s="4">
        <v>45737</v>
      </c>
      <c r="E114" s="2">
        <v>3075.71</v>
      </c>
      <c r="F114" s="2" t="s">
        <v>37</v>
      </c>
      <c r="G114" s="2" t="s">
        <v>275</v>
      </c>
      <c r="H114" s="2" t="s">
        <v>41</v>
      </c>
      <c r="I114" s="2" t="s">
        <v>17</v>
      </c>
    </row>
    <row r="115" spans="1:9" x14ac:dyDescent="0.2">
      <c r="A115" s="2" t="s">
        <v>369</v>
      </c>
      <c r="B115" s="2" t="s">
        <v>132</v>
      </c>
      <c r="C115" s="2" t="s">
        <v>370</v>
      </c>
      <c r="D115" s="2" t="s">
        <v>371</v>
      </c>
      <c r="E115" s="2" t="s">
        <v>372</v>
      </c>
      <c r="F115" s="2" t="s">
        <v>37</v>
      </c>
      <c r="G115" s="2" t="s">
        <v>94</v>
      </c>
      <c r="H115" s="2" t="s">
        <v>304</v>
      </c>
      <c r="I115" s="2" t="s">
        <v>24</v>
      </c>
    </row>
    <row r="116" spans="1:9" x14ac:dyDescent="0.2">
      <c r="A116" s="2" t="s">
        <v>373</v>
      </c>
      <c r="B116" s="2" t="s">
        <v>26</v>
      </c>
      <c r="C116" s="2" t="s">
        <v>374</v>
      </c>
      <c r="D116" s="4">
        <v>45754</v>
      </c>
      <c r="E116" s="2">
        <v>10743.29</v>
      </c>
      <c r="F116" s="2" t="s">
        <v>22</v>
      </c>
      <c r="G116" s="2" t="s">
        <v>94</v>
      </c>
      <c r="H116" s="2" t="s">
        <v>105</v>
      </c>
    </row>
    <row r="117" spans="1:9" x14ac:dyDescent="0.2">
      <c r="A117" s="2" t="s">
        <v>375</v>
      </c>
      <c r="B117" s="2" t="s">
        <v>165</v>
      </c>
      <c r="C117" s="2" t="s">
        <v>376</v>
      </c>
      <c r="D117" s="2" t="s">
        <v>377</v>
      </c>
      <c r="E117" s="2" t="s">
        <v>378</v>
      </c>
      <c r="F117" s="2" t="s">
        <v>37</v>
      </c>
      <c r="G117" s="2" t="s">
        <v>46</v>
      </c>
      <c r="H117" s="2" t="s">
        <v>16</v>
      </c>
    </row>
    <row r="118" spans="1:9" x14ac:dyDescent="0.2">
      <c r="A118" s="2" t="s">
        <v>379</v>
      </c>
      <c r="B118" s="2" t="s">
        <v>107</v>
      </c>
      <c r="C118" s="2" t="s">
        <v>176</v>
      </c>
      <c r="D118" s="2" t="s">
        <v>380</v>
      </c>
      <c r="E118" s="2">
        <v>30548.09</v>
      </c>
      <c r="F118" s="2" t="s">
        <v>37</v>
      </c>
      <c r="G118" s="2" t="s">
        <v>23</v>
      </c>
      <c r="H118" s="2" t="s">
        <v>105</v>
      </c>
    </row>
    <row r="119" spans="1:9" x14ac:dyDescent="0.2">
      <c r="A119" s="2" t="s">
        <v>381</v>
      </c>
      <c r="B119" s="2" t="s">
        <v>26</v>
      </c>
      <c r="C119" s="2" t="s">
        <v>171</v>
      </c>
      <c r="D119" s="4">
        <v>45755</v>
      </c>
      <c r="E119" s="2">
        <v>16220.45</v>
      </c>
      <c r="F119" s="2" t="s">
        <v>37</v>
      </c>
      <c r="G119" s="2" t="s">
        <v>30</v>
      </c>
      <c r="H119" s="2" t="s">
        <v>31</v>
      </c>
    </row>
    <row r="120" spans="1:9" x14ac:dyDescent="0.2">
      <c r="A120" s="2" t="s">
        <v>382</v>
      </c>
      <c r="B120" s="2" t="s">
        <v>137</v>
      </c>
      <c r="C120" s="2" t="s">
        <v>383</v>
      </c>
      <c r="D120" s="4">
        <v>45770</v>
      </c>
      <c r="E120" s="2" t="s">
        <v>384</v>
      </c>
      <c r="F120" s="2" t="s">
        <v>37</v>
      </c>
      <c r="G120" s="2" t="s">
        <v>23</v>
      </c>
      <c r="H120" s="2" t="s">
        <v>16</v>
      </c>
    </row>
    <row r="121" spans="1:9" x14ac:dyDescent="0.2">
      <c r="A121" s="2" t="s">
        <v>385</v>
      </c>
      <c r="B121" s="2" t="s">
        <v>137</v>
      </c>
      <c r="C121" s="2" t="s">
        <v>180</v>
      </c>
      <c r="D121" s="4">
        <v>45771</v>
      </c>
      <c r="E121" s="2">
        <v>12984.11</v>
      </c>
      <c r="F121" s="2" t="s">
        <v>29</v>
      </c>
      <c r="G121" s="2" t="s">
        <v>23</v>
      </c>
      <c r="H121" s="2" t="s">
        <v>16</v>
      </c>
      <c r="I121" s="2" t="s">
        <v>64</v>
      </c>
    </row>
    <row r="122" spans="1:9" x14ac:dyDescent="0.2">
      <c r="A122" s="2" t="s">
        <v>386</v>
      </c>
      <c r="B122" s="2" t="s">
        <v>107</v>
      </c>
      <c r="C122" s="2" t="s">
        <v>146</v>
      </c>
      <c r="D122" s="2" t="s">
        <v>147</v>
      </c>
      <c r="E122" s="2">
        <v>40204.51</v>
      </c>
      <c r="F122" s="2" t="s">
        <v>37</v>
      </c>
      <c r="G122" s="2" t="s">
        <v>63</v>
      </c>
      <c r="H122" s="2" t="s">
        <v>31</v>
      </c>
      <c r="I122" s="2" t="s">
        <v>17</v>
      </c>
    </row>
    <row r="123" spans="1:9" x14ac:dyDescent="0.2">
      <c r="A123" s="2" t="s">
        <v>387</v>
      </c>
      <c r="B123" s="2" t="s">
        <v>198</v>
      </c>
      <c r="C123" s="2" t="s">
        <v>388</v>
      </c>
      <c r="D123" s="2" t="s">
        <v>389</v>
      </c>
      <c r="E123" s="2" t="s">
        <v>390</v>
      </c>
      <c r="F123" s="2" t="s">
        <v>37</v>
      </c>
      <c r="G123" s="2" t="s">
        <v>23</v>
      </c>
      <c r="H123" s="2" t="s">
        <v>105</v>
      </c>
    </row>
    <row r="124" spans="1:9" x14ac:dyDescent="0.2">
      <c r="A124" s="2" t="s">
        <v>391</v>
      </c>
      <c r="B124" s="2" t="s">
        <v>116</v>
      </c>
      <c r="C124" s="2" t="s">
        <v>392</v>
      </c>
      <c r="D124" s="4">
        <v>45776</v>
      </c>
      <c r="E124" s="2" t="s">
        <v>393</v>
      </c>
      <c r="F124" s="2" t="s">
        <v>37</v>
      </c>
      <c r="G124" s="2" t="s">
        <v>63</v>
      </c>
      <c r="H124" s="2" t="s">
        <v>16</v>
      </c>
      <c r="I124" s="2" t="s">
        <v>17</v>
      </c>
    </row>
    <row r="125" spans="1:9" x14ac:dyDescent="0.2">
      <c r="A125" s="2" t="s">
        <v>394</v>
      </c>
      <c r="B125" s="2" t="s">
        <v>48</v>
      </c>
      <c r="C125" s="2" t="s">
        <v>395</v>
      </c>
      <c r="D125" s="4">
        <v>45761</v>
      </c>
      <c r="E125" s="2" t="s">
        <v>396</v>
      </c>
      <c r="F125" s="2" t="s">
        <v>29</v>
      </c>
      <c r="H125" s="2" t="s">
        <v>105</v>
      </c>
    </row>
    <row r="126" spans="1:9" x14ac:dyDescent="0.2">
      <c r="A126" s="2" t="s">
        <v>397</v>
      </c>
      <c r="B126" s="2" t="s">
        <v>398</v>
      </c>
      <c r="C126" s="4">
        <v>45731</v>
      </c>
      <c r="D126" s="2" t="s">
        <v>399</v>
      </c>
      <c r="E126" s="2" t="s">
        <v>400</v>
      </c>
      <c r="F126" s="2" t="s">
        <v>37</v>
      </c>
      <c r="G126" s="2" t="s">
        <v>155</v>
      </c>
      <c r="H126" s="2" t="s">
        <v>41</v>
      </c>
    </row>
    <row r="127" spans="1:9" x14ac:dyDescent="0.2">
      <c r="A127" s="2" t="s">
        <v>401</v>
      </c>
      <c r="B127" s="2" t="s">
        <v>165</v>
      </c>
      <c r="C127" s="2" t="s">
        <v>402</v>
      </c>
      <c r="D127" s="2" t="s">
        <v>403</v>
      </c>
      <c r="E127" s="2">
        <v>6317.08</v>
      </c>
      <c r="F127" s="2" t="s">
        <v>37</v>
      </c>
      <c r="G127" s="2" t="s">
        <v>210</v>
      </c>
      <c r="H127" s="2" t="s">
        <v>31</v>
      </c>
      <c r="I127" s="2" t="s">
        <v>24</v>
      </c>
    </row>
    <row r="128" spans="1:9" x14ac:dyDescent="0.2">
      <c r="A128" s="2" t="s">
        <v>404</v>
      </c>
      <c r="B128" s="2" t="s">
        <v>107</v>
      </c>
      <c r="C128" s="2" t="s">
        <v>405</v>
      </c>
      <c r="D128" s="4">
        <v>45801</v>
      </c>
      <c r="E128" s="2" t="s">
        <v>406</v>
      </c>
      <c r="F128" s="2" t="s">
        <v>29</v>
      </c>
      <c r="G128" s="2" t="s">
        <v>67</v>
      </c>
      <c r="H128" s="2" t="s">
        <v>41</v>
      </c>
    </row>
    <row r="129" spans="1:9" x14ac:dyDescent="0.2">
      <c r="A129" s="2" t="s">
        <v>407</v>
      </c>
      <c r="B129" s="2" t="s">
        <v>26</v>
      </c>
      <c r="C129" s="4">
        <v>45734</v>
      </c>
      <c r="D129" s="4">
        <v>45764</v>
      </c>
      <c r="E129" s="2">
        <v>6904.74</v>
      </c>
      <c r="F129" s="2" t="s">
        <v>14</v>
      </c>
      <c r="G129" s="2" t="s">
        <v>30</v>
      </c>
      <c r="H129" s="2" t="s">
        <v>31</v>
      </c>
    </row>
    <row r="130" spans="1:9" x14ac:dyDescent="0.2">
      <c r="A130" s="2" t="s">
        <v>408</v>
      </c>
      <c r="B130" s="2" t="s">
        <v>157</v>
      </c>
      <c r="C130" s="4">
        <v>45734</v>
      </c>
      <c r="D130" s="2" t="s">
        <v>409</v>
      </c>
      <c r="E130" s="2">
        <v>22388.05</v>
      </c>
      <c r="F130" s="2" t="s">
        <v>22</v>
      </c>
      <c r="G130" s="2" t="s">
        <v>114</v>
      </c>
      <c r="H130" s="2" t="s">
        <v>105</v>
      </c>
      <c r="I130" s="2" t="s">
        <v>24</v>
      </c>
    </row>
    <row r="131" spans="1:9" x14ac:dyDescent="0.2">
      <c r="A131" s="2" t="s">
        <v>410</v>
      </c>
      <c r="B131" s="2" t="s">
        <v>198</v>
      </c>
      <c r="C131" s="2" t="s">
        <v>411</v>
      </c>
      <c r="D131" s="2" t="s">
        <v>412</v>
      </c>
      <c r="E131" s="2">
        <v>43725.73</v>
      </c>
      <c r="F131" s="2" t="s">
        <v>14</v>
      </c>
      <c r="G131" s="2" t="s">
        <v>114</v>
      </c>
      <c r="H131" s="2" t="s">
        <v>16</v>
      </c>
    </row>
    <row r="132" spans="1:9" x14ac:dyDescent="0.2">
      <c r="A132" s="2" t="s">
        <v>413</v>
      </c>
      <c r="B132" s="2" t="s">
        <v>107</v>
      </c>
      <c r="C132" s="2" t="s">
        <v>414</v>
      </c>
      <c r="D132" s="2" t="s">
        <v>415</v>
      </c>
      <c r="E132" s="2" t="s">
        <v>416</v>
      </c>
      <c r="F132" s="2" t="s">
        <v>37</v>
      </c>
      <c r="G132" s="2" t="s">
        <v>63</v>
      </c>
      <c r="H132" s="2" t="s">
        <v>16</v>
      </c>
      <c r="I132" s="2" t="s">
        <v>64</v>
      </c>
    </row>
    <row r="133" spans="1:9" x14ac:dyDescent="0.2">
      <c r="A133" s="2" t="s">
        <v>417</v>
      </c>
      <c r="B133" s="2" t="s">
        <v>39</v>
      </c>
      <c r="C133" s="4">
        <v>45735</v>
      </c>
      <c r="D133" s="4">
        <v>45765</v>
      </c>
      <c r="E133" s="2" t="s">
        <v>418</v>
      </c>
      <c r="F133" s="2" t="s">
        <v>419</v>
      </c>
      <c r="G133" s="2" t="s">
        <v>210</v>
      </c>
      <c r="H133" s="2" t="s">
        <v>41</v>
      </c>
    </row>
    <row r="134" spans="1:9" x14ac:dyDescent="0.2">
      <c r="A134" s="2" t="s">
        <v>420</v>
      </c>
      <c r="B134" s="2" t="s">
        <v>165</v>
      </c>
      <c r="C134" s="2" t="s">
        <v>421</v>
      </c>
      <c r="D134" s="4">
        <v>45765</v>
      </c>
      <c r="E134" s="2" t="s">
        <v>422</v>
      </c>
      <c r="F134" s="2" t="s">
        <v>37</v>
      </c>
      <c r="G134" s="2" t="s">
        <v>210</v>
      </c>
      <c r="H134" s="2" t="s">
        <v>41</v>
      </c>
    </row>
    <row r="135" spans="1:9" x14ac:dyDescent="0.2">
      <c r="A135" s="2" t="s">
        <v>423</v>
      </c>
      <c r="B135" s="2" t="s">
        <v>33</v>
      </c>
      <c r="C135" s="2" t="s">
        <v>217</v>
      </c>
      <c r="D135" s="4">
        <v>45780</v>
      </c>
      <c r="E135" s="2" t="s">
        <v>424</v>
      </c>
      <c r="F135" s="2" t="s">
        <v>37</v>
      </c>
      <c r="G135" s="2" t="s">
        <v>23</v>
      </c>
      <c r="H135" s="2" t="s">
        <v>31</v>
      </c>
      <c r="I135" s="2" t="s">
        <v>17</v>
      </c>
    </row>
    <row r="136" spans="1:9" x14ac:dyDescent="0.2">
      <c r="A136" s="2" t="s">
        <v>425</v>
      </c>
      <c r="B136" s="2" t="s">
        <v>426</v>
      </c>
      <c r="C136" s="2" t="s">
        <v>427</v>
      </c>
      <c r="D136" s="2" t="s">
        <v>428</v>
      </c>
      <c r="E136" s="2" t="s">
        <v>429</v>
      </c>
      <c r="G136" s="2" t="s">
        <v>23</v>
      </c>
      <c r="H136" s="2" t="s">
        <v>430</v>
      </c>
    </row>
    <row r="137" spans="1:9" x14ac:dyDescent="0.2">
      <c r="A137" s="2" t="s">
        <v>431</v>
      </c>
      <c r="B137" s="2" t="s">
        <v>33</v>
      </c>
      <c r="C137" s="4">
        <v>45735</v>
      </c>
      <c r="D137" s="2" t="s">
        <v>432</v>
      </c>
      <c r="E137" s="2" t="s">
        <v>433</v>
      </c>
      <c r="F137" s="2" t="s">
        <v>22</v>
      </c>
      <c r="G137" s="2" t="s">
        <v>114</v>
      </c>
      <c r="H137" s="2" t="s">
        <v>41</v>
      </c>
    </row>
    <row r="138" spans="1:9" x14ac:dyDescent="0.2">
      <c r="A138" s="2" t="s">
        <v>434</v>
      </c>
      <c r="B138" s="2" t="s">
        <v>157</v>
      </c>
      <c r="C138" s="4">
        <v>45737</v>
      </c>
      <c r="D138" s="4">
        <v>45782</v>
      </c>
      <c r="E138" s="2" t="s">
        <v>435</v>
      </c>
      <c r="F138" s="2" t="s">
        <v>14</v>
      </c>
      <c r="G138" s="2" t="s">
        <v>114</v>
      </c>
      <c r="H138" s="2" t="s">
        <v>16</v>
      </c>
      <c r="I138" s="2" t="s">
        <v>64</v>
      </c>
    </row>
    <row r="139" spans="1:9" x14ac:dyDescent="0.2">
      <c r="A139" s="2" t="s">
        <v>436</v>
      </c>
      <c r="B139" s="2" t="s">
        <v>19</v>
      </c>
      <c r="C139" s="4">
        <v>45737</v>
      </c>
      <c r="D139" s="2" t="s">
        <v>437</v>
      </c>
      <c r="E139" s="2" t="s">
        <v>438</v>
      </c>
      <c r="F139" s="2" t="s">
        <v>22</v>
      </c>
      <c r="G139" s="2" t="s">
        <v>23</v>
      </c>
      <c r="H139" s="2" t="s">
        <v>16</v>
      </c>
    </row>
    <row r="140" spans="1:9" x14ac:dyDescent="0.2">
      <c r="A140" s="2" t="s">
        <v>182</v>
      </c>
      <c r="B140" s="2" t="s">
        <v>137</v>
      </c>
      <c r="C140" s="4">
        <v>45682</v>
      </c>
      <c r="D140" s="2" t="s">
        <v>146</v>
      </c>
      <c r="E140" s="2" t="s">
        <v>183</v>
      </c>
      <c r="F140" s="2" t="s">
        <v>37</v>
      </c>
      <c r="G140" s="2" t="s">
        <v>63</v>
      </c>
      <c r="H140" s="2" t="s">
        <v>105</v>
      </c>
      <c r="I140" s="2" t="s">
        <v>64</v>
      </c>
    </row>
    <row r="141" spans="1:9" x14ac:dyDescent="0.2">
      <c r="A141" s="2" t="s">
        <v>439</v>
      </c>
      <c r="B141" s="2" t="s">
        <v>198</v>
      </c>
      <c r="C141" s="2" t="s">
        <v>440</v>
      </c>
      <c r="D141" s="2" t="s">
        <v>437</v>
      </c>
      <c r="E141" s="2" t="s">
        <v>441</v>
      </c>
      <c r="G141" s="2" t="s">
        <v>63</v>
      </c>
      <c r="H141" s="2" t="s">
        <v>31</v>
      </c>
      <c r="I141" s="2" t="s">
        <v>58</v>
      </c>
    </row>
    <row r="142" spans="1:9" x14ac:dyDescent="0.2">
      <c r="A142" s="2" t="s">
        <v>442</v>
      </c>
      <c r="B142" s="2" t="s">
        <v>116</v>
      </c>
      <c r="C142" s="2" t="s">
        <v>440</v>
      </c>
      <c r="D142" s="2" t="s">
        <v>437</v>
      </c>
      <c r="E142" s="2" t="s">
        <v>443</v>
      </c>
      <c r="G142" s="2" t="s">
        <v>23</v>
      </c>
      <c r="H142" s="2" t="s">
        <v>16</v>
      </c>
    </row>
    <row r="143" spans="1:9" x14ac:dyDescent="0.2">
      <c r="A143" s="2" t="s">
        <v>444</v>
      </c>
      <c r="B143" s="2" t="s">
        <v>296</v>
      </c>
      <c r="C143" s="2" t="s">
        <v>445</v>
      </c>
      <c r="D143" s="2" t="s">
        <v>446</v>
      </c>
      <c r="E143" s="2" t="s">
        <v>447</v>
      </c>
      <c r="F143" s="2" t="s">
        <v>37</v>
      </c>
      <c r="G143" s="2" t="s">
        <v>299</v>
      </c>
      <c r="H143" s="2" t="s">
        <v>31</v>
      </c>
      <c r="I143" s="2" t="s">
        <v>64</v>
      </c>
    </row>
    <row r="144" spans="1:9" x14ac:dyDescent="0.2">
      <c r="A144" s="2" t="s">
        <v>448</v>
      </c>
      <c r="B144" s="2" t="s">
        <v>141</v>
      </c>
      <c r="C144" s="4">
        <v>45738</v>
      </c>
      <c r="D144" s="2" t="s">
        <v>449</v>
      </c>
      <c r="E144" s="2" t="s">
        <v>450</v>
      </c>
      <c r="F144" s="2" t="s">
        <v>37</v>
      </c>
      <c r="G144" s="2" t="s">
        <v>67</v>
      </c>
      <c r="H144" s="2" t="s">
        <v>31</v>
      </c>
    </row>
    <row r="145" spans="1:9" x14ac:dyDescent="0.2">
      <c r="A145" s="2" t="s">
        <v>451</v>
      </c>
      <c r="B145" s="2" t="s">
        <v>33</v>
      </c>
      <c r="C145" s="4">
        <v>45739</v>
      </c>
      <c r="D145" s="4">
        <v>45784</v>
      </c>
      <c r="E145" s="2" t="s">
        <v>452</v>
      </c>
      <c r="F145" s="2" t="s">
        <v>37</v>
      </c>
      <c r="G145" s="2" t="s">
        <v>114</v>
      </c>
      <c r="H145" s="2" t="s">
        <v>105</v>
      </c>
      <c r="I145" s="2" t="s">
        <v>58</v>
      </c>
    </row>
    <row r="146" spans="1:9" x14ac:dyDescent="0.2">
      <c r="A146" s="2" t="s">
        <v>453</v>
      </c>
      <c r="B146" s="2" t="s">
        <v>43</v>
      </c>
      <c r="C146" s="2" t="s">
        <v>320</v>
      </c>
      <c r="D146" s="2" t="s">
        <v>454</v>
      </c>
      <c r="E146" s="2" t="s">
        <v>455</v>
      </c>
      <c r="F146" s="2" t="s">
        <v>37</v>
      </c>
      <c r="G146" s="2" t="s">
        <v>210</v>
      </c>
      <c r="H146" s="2" t="s">
        <v>41</v>
      </c>
    </row>
    <row r="147" spans="1:9" x14ac:dyDescent="0.2">
      <c r="A147" s="2" t="s">
        <v>456</v>
      </c>
      <c r="B147" s="2" t="s">
        <v>90</v>
      </c>
      <c r="C147" s="4">
        <v>45739</v>
      </c>
      <c r="D147" s="2" t="s">
        <v>454</v>
      </c>
      <c r="E147" s="2" t="s">
        <v>457</v>
      </c>
      <c r="F147" s="2" t="s">
        <v>29</v>
      </c>
      <c r="G147" s="2" t="s">
        <v>94</v>
      </c>
      <c r="H147" s="2" t="s">
        <v>105</v>
      </c>
    </row>
    <row r="148" spans="1:9" x14ac:dyDescent="0.2">
      <c r="A148" s="2" t="s">
        <v>458</v>
      </c>
      <c r="B148" s="2" t="s">
        <v>79</v>
      </c>
      <c r="C148" s="4">
        <v>45740</v>
      </c>
      <c r="D148" s="2" t="s">
        <v>459</v>
      </c>
      <c r="E148" s="2">
        <v>26930.99</v>
      </c>
      <c r="F148" s="2" t="s">
        <v>37</v>
      </c>
      <c r="G148" s="2" t="s">
        <v>63</v>
      </c>
      <c r="H148" s="2" t="s">
        <v>105</v>
      </c>
    </row>
    <row r="149" spans="1:9" x14ac:dyDescent="0.2">
      <c r="A149" s="2" t="s">
        <v>460</v>
      </c>
      <c r="B149" s="2" t="s">
        <v>43</v>
      </c>
      <c r="C149" s="2" t="s">
        <v>240</v>
      </c>
      <c r="D149" s="2" t="s">
        <v>461</v>
      </c>
      <c r="E149" s="2">
        <v>3490.12</v>
      </c>
      <c r="F149" s="2" t="s">
        <v>37</v>
      </c>
      <c r="G149" s="2" t="s">
        <v>57</v>
      </c>
      <c r="H149" s="2" t="s">
        <v>304</v>
      </c>
      <c r="I149" s="2" t="s">
        <v>17</v>
      </c>
    </row>
    <row r="150" spans="1:9" x14ac:dyDescent="0.2">
      <c r="A150" s="2" t="s">
        <v>462</v>
      </c>
      <c r="B150" s="2" t="s">
        <v>33</v>
      </c>
      <c r="C150" s="4">
        <v>45742</v>
      </c>
      <c r="D150" s="2" t="s">
        <v>463</v>
      </c>
      <c r="E150" s="2">
        <v>46344.97</v>
      </c>
      <c r="F150" s="2" t="s">
        <v>37</v>
      </c>
      <c r="G150" s="2" t="s">
        <v>114</v>
      </c>
      <c r="H150" s="2" t="s">
        <v>105</v>
      </c>
      <c r="I150" s="2" t="s">
        <v>58</v>
      </c>
    </row>
    <row r="151" spans="1:9" x14ac:dyDescent="0.2">
      <c r="B151" s="2" t="s">
        <v>464</v>
      </c>
      <c r="E151" s="2" t="s">
        <v>465</v>
      </c>
    </row>
    <row r="152" spans="1:9" x14ac:dyDescent="0.2">
      <c r="A152" s="2" t="s">
        <v>466</v>
      </c>
      <c r="B152" s="2" t="s">
        <v>103</v>
      </c>
      <c r="C152" s="4">
        <v>45744</v>
      </c>
      <c r="D152" s="4">
        <v>45789</v>
      </c>
      <c r="E152" s="2" t="s">
        <v>467</v>
      </c>
      <c r="F152" s="2" t="s">
        <v>22</v>
      </c>
      <c r="G152" s="2" t="s">
        <v>63</v>
      </c>
      <c r="H152" s="2" t="s">
        <v>31</v>
      </c>
    </row>
    <row r="153" spans="1:9" x14ac:dyDescent="0.2">
      <c r="A153" s="2" t="s">
        <v>468</v>
      </c>
      <c r="B153" s="2" t="s">
        <v>141</v>
      </c>
      <c r="C153" s="4">
        <v>45744</v>
      </c>
      <c r="D153" s="4">
        <v>45789</v>
      </c>
      <c r="E153" s="2" t="s">
        <v>469</v>
      </c>
      <c r="F153" s="2" t="s">
        <v>37</v>
      </c>
      <c r="G153" s="2" t="s">
        <v>23</v>
      </c>
      <c r="H153" s="2" t="s">
        <v>41</v>
      </c>
      <c r="I153" s="2" t="s">
        <v>17</v>
      </c>
    </row>
    <row r="154" spans="1:9" x14ac:dyDescent="0.2">
      <c r="A154" s="2" t="s">
        <v>470</v>
      </c>
      <c r="B154" s="2" t="s">
        <v>198</v>
      </c>
      <c r="C154" s="4">
        <v>45744</v>
      </c>
      <c r="D154" s="4">
        <v>45789</v>
      </c>
      <c r="E154" s="2" t="s">
        <v>471</v>
      </c>
      <c r="F154" s="2" t="s">
        <v>37</v>
      </c>
      <c r="G154" s="2" t="s">
        <v>23</v>
      </c>
      <c r="H154" s="2" t="s">
        <v>31</v>
      </c>
    </row>
    <row r="155" spans="1:9" x14ac:dyDescent="0.2">
      <c r="A155" s="2" t="s">
        <v>472</v>
      </c>
      <c r="B155" s="2" t="s">
        <v>19</v>
      </c>
      <c r="C155" s="2" t="s">
        <v>473</v>
      </c>
      <c r="D155" s="2" t="s">
        <v>474</v>
      </c>
      <c r="E155" s="2" t="s">
        <v>475</v>
      </c>
      <c r="F155" s="2" t="s">
        <v>37</v>
      </c>
      <c r="G155" s="2" t="s">
        <v>114</v>
      </c>
      <c r="H155" s="2" t="s">
        <v>16</v>
      </c>
    </row>
    <row r="156" spans="1:9" x14ac:dyDescent="0.2">
      <c r="A156" s="2" t="s">
        <v>476</v>
      </c>
      <c r="B156" s="2" t="s">
        <v>141</v>
      </c>
      <c r="C156" s="2" t="s">
        <v>477</v>
      </c>
      <c r="D156" s="2" t="s">
        <v>474</v>
      </c>
      <c r="E156" s="2" t="s">
        <v>478</v>
      </c>
      <c r="F156" s="2" t="s">
        <v>22</v>
      </c>
      <c r="G156" s="2" t="s">
        <v>67</v>
      </c>
      <c r="H156" s="2" t="s">
        <v>105</v>
      </c>
      <c r="I156" s="2" t="s">
        <v>58</v>
      </c>
    </row>
    <row r="157" spans="1:9" x14ac:dyDescent="0.2">
      <c r="A157" s="2" t="s">
        <v>479</v>
      </c>
      <c r="B157" s="2" t="s">
        <v>74</v>
      </c>
      <c r="C157" s="2" t="s">
        <v>480</v>
      </c>
      <c r="D157" s="4">
        <v>45790</v>
      </c>
      <c r="E157" s="2" t="s">
        <v>481</v>
      </c>
      <c r="F157" s="2" t="s">
        <v>29</v>
      </c>
      <c r="G157" s="2" t="s">
        <v>23</v>
      </c>
      <c r="H157" s="2" t="s">
        <v>31</v>
      </c>
    </row>
    <row r="158" spans="1:9" x14ac:dyDescent="0.2">
      <c r="A158" s="2" t="s">
        <v>482</v>
      </c>
      <c r="B158" s="2" t="s">
        <v>157</v>
      </c>
      <c r="C158" s="2" t="s">
        <v>341</v>
      </c>
      <c r="D158" s="2" t="s">
        <v>483</v>
      </c>
      <c r="E158" s="2" t="s">
        <v>484</v>
      </c>
      <c r="F158" s="2" t="s">
        <v>29</v>
      </c>
      <c r="G158" s="2" t="s">
        <v>63</v>
      </c>
      <c r="H158" s="2" t="s">
        <v>16</v>
      </c>
    </row>
    <row r="159" spans="1:9" x14ac:dyDescent="0.2">
      <c r="A159" s="2" t="s">
        <v>485</v>
      </c>
      <c r="B159" s="2" t="s">
        <v>103</v>
      </c>
      <c r="C159" s="4">
        <v>45747</v>
      </c>
      <c r="D159" s="2" t="s">
        <v>486</v>
      </c>
      <c r="E159" s="2" t="s">
        <v>487</v>
      </c>
      <c r="F159" s="2" t="s">
        <v>29</v>
      </c>
      <c r="G159" s="2" t="s">
        <v>63</v>
      </c>
      <c r="H159" s="2" t="s">
        <v>16</v>
      </c>
    </row>
    <row r="160" spans="1:9" x14ac:dyDescent="0.2">
      <c r="A160" s="2" t="s">
        <v>488</v>
      </c>
      <c r="B160" s="2" t="s">
        <v>33</v>
      </c>
      <c r="C160" s="4">
        <v>45749</v>
      </c>
      <c r="D160" s="2" t="s">
        <v>489</v>
      </c>
      <c r="E160" s="2" t="s">
        <v>490</v>
      </c>
      <c r="F160" s="2" t="s">
        <v>37</v>
      </c>
      <c r="G160" s="2" t="s">
        <v>67</v>
      </c>
      <c r="H160" s="2" t="s">
        <v>16</v>
      </c>
    </row>
    <row r="161" spans="1:9" x14ac:dyDescent="0.2">
      <c r="A161" s="2" t="s">
        <v>491</v>
      </c>
      <c r="B161" s="2" t="s">
        <v>137</v>
      </c>
      <c r="C161" s="2" t="s">
        <v>492</v>
      </c>
      <c r="D161" s="2" t="s">
        <v>493</v>
      </c>
      <c r="E161" s="2" t="s">
        <v>494</v>
      </c>
      <c r="F161" s="2" t="s">
        <v>37</v>
      </c>
      <c r="G161" s="2" t="s">
        <v>63</v>
      </c>
      <c r="H161" s="2" t="s">
        <v>105</v>
      </c>
      <c r="I161" s="2" t="s">
        <v>17</v>
      </c>
    </row>
    <row r="162" spans="1:9" x14ac:dyDescent="0.2">
      <c r="A162" s="2" t="s">
        <v>495</v>
      </c>
      <c r="B162" s="2" t="s">
        <v>137</v>
      </c>
      <c r="C162" s="4">
        <v>45750</v>
      </c>
      <c r="D162" s="2" t="s">
        <v>496</v>
      </c>
      <c r="E162" s="2" t="s">
        <v>497</v>
      </c>
      <c r="F162" s="2" t="s">
        <v>37</v>
      </c>
      <c r="G162" s="2" t="s">
        <v>114</v>
      </c>
      <c r="H162" s="2" t="s">
        <v>16</v>
      </c>
      <c r="I162" s="2" t="s">
        <v>24</v>
      </c>
    </row>
    <row r="163" spans="1:9" x14ac:dyDescent="0.2">
      <c r="A163" s="2" t="s">
        <v>498</v>
      </c>
      <c r="B163" s="2" t="s">
        <v>19</v>
      </c>
      <c r="C163" s="4">
        <v>45751</v>
      </c>
      <c r="D163" s="2" t="s">
        <v>499</v>
      </c>
      <c r="E163" s="2" t="s">
        <v>500</v>
      </c>
      <c r="F163" s="2" t="s">
        <v>37</v>
      </c>
      <c r="G163" s="2" t="s">
        <v>114</v>
      </c>
      <c r="H163" s="2" t="s">
        <v>105</v>
      </c>
    </row>
    <row r="164" spans="1:9" x14ac:dyDescent="0.2">
      <c r="A164" s="2" t="s">
        <v>501</v>
      </c>
      <c r="B164" s="2" t="s">
        <v>165</v>
      </c>
      <c r="C164" s="2" t="s">
        <v>502</v>
      </c>
      <c r="D164" s="4">
        <v>45781</v>
      </c>
      <c r="E164" s="2">
        <v>4168.07</v>
      </c>
      <c r="F164" s="2" t="s">
        <v>37</v>
      </c>
      <c r="G164" s="2" t="s">
        <v>57</v>
      </c>
      <c r="H164" s="2" t="s">
        <v>41</v>
      </c>
    </row>
    <row r="165" spans="1:9" x14ac:dyDescent="0.2">
      <c r="A165" s="2" t="s">
        <v>503</v>
      </c>
      <c r="B165" s="2" t="s">
        <v>272</v>
      </c>
      <c r="C165" s="4">
        <v>45751</v>
      </c>
      <c r="D165" s="4">
        <v>45766</v>
      </c>
      <c r="E165" s="2" t="s">
        <v>504</v>
      </c>
      <c r="F165" s="2" t="s">
        <v>37</v>
      </c>
      <c r="G165" s="2" t="s">
        <v>275</v>
      </c>
      <c r="H165" s="2" t="s">
        <v>82</v>
      </c>
    </row>
    <row r="166" spans="1:9" x14ac:dyDescent="0.2">
      <c r="A166" s="2" t="s">
        <v>505</v>
      </c>
      <c r="B166" s="2" t="s">
        <v>107</v>
      </c>
      <c r="C166" s="2" t="s">
        <v>506</v>
      </c>
      <c r="D166" s="2" t="s">
        <v>507</v>
      </c>
      <c r="E166" s="2">
        <v>32481.42</v>
      </c>
      <c r="F166" s="2" t="s">
        <v>37</v>
      </c>
      <c r="G166" s="2" t="s">
        <v>67</v>
      </c>
      <c r="H166" s="2" t="s">
        <v>31</v>
      </c>
      <c r="I166" s="2" t="s">
        <v>24</v>
      </c>
    </row>
    <row r="167" spans="1:9" x14ac:dyDescent="0.2">
      <c r="A167" s="2" t="s">
        <v>508</v>
      </c>
      <c r="B167" s="2" t="s">
        <v>19</v>
      </c>
      <c r="C167" s="4">
        <v>45754</v>
      </c>
      <c r="D167" s="2" t="s">
        <v>509</v>
      </c>
      <c r="E167" s="2" t="s">
        <v>510</v>
      </c>
      <c r="F167" s="2" t="s">
        <v>37</v>
      </c>
      <c r="G167" s="2" t="s">
        <v>23</v>
      </c>
      <c r="H167" s="2" t="s">
        <v>124</v>
      </c>
    </row>
    <row r="168" spans="1:9" x14ac:dyDescent="0.2">
      <c r="A168" s="2" t="s">
        <v>511</v>
      </c>
      <c r="B168" s="2" t="s">
        <v>103</v>
      </c>
      <c r="C168" s="2" t="s">
        <v>512</v>
      </c>
      <c r="D168" s="2" t="s">
        <v>513</v>
      </c>
      <c r="E168" s="2" t="s">
        <v>514</v>
      </c>
      <c r="F168" s="2" t="s">
        <v>22</v>
      </c>
      <c r="G168" s="2" t="s">
        <v>114</v>
      </c>
      <c r="H168" s="2" t="s">
        <v>105</v>
      </c>
    </row>
    <row r="169" spans="1:9" x14ac:dyDescent="0.2">
      <c r="A169" s="2" t="s">
        <v>515</v>
      </c>
      <c r="B169" s="2" t="s">
        <v>267</v>
      </c>
      <c r="C169" s="4">
        <v>45755</v>
      </c>
      <c r="D169" s="2" t="s">
        <v>516</v>
      </c>
      <c r="E169" s="2" t="s">
        <v>517</v>
      </c>
      <c r="F169" s="2" t="s">
        <v>37</v>
      </c>
      <c r="G169" s="2" t="s">
        <v>30</v>
      </c>
      <c r="H169" s="2" t="s">
        <v>16</v>
      </c>
    </row>
    <row r="170" spans="1:9" x14ac:dyDescent="0.2">
      <c r="A170" s="2" t="s">
        <v>518</v>
      </c>
      <c r="B170" s="2" t="s">
        <v>43</v>
      </c>
      <c r="C170" s="2" t="s">
        <v>519</v>
      </c>
      <c r="D170" s="4">
        <v>45786</v>
      </c>
      <c r="E170" s="2" t="s">
        <v>520</v>
      </c>
      <c r="F170" s="2" t="s">
        <v>14</v>
      </c>
      <c r="G170" s="2" t="s">
        <v>169</v>
      </c>
      <c r="H170" s="2" t="s">
        <v>41</v>
      </c>
      <c r="I170" s="2" t="s">
        <v>64</v>
      </c>
    </row>
    <row r="171" spans="1:9" x14ac:dyDescent="0.2">
      <c r="A171" s="2" t="s">
        <v>521</v>
      </c>
      <c r="B171" s="2" t="s">
        <v>198</v>
      </c>
      <c r="C171" s="2" t="s">
        <v>519</v>
      </c>
      <c r="D171" s="4">
        <v>45801</v>
      </c>
      <c r="E171" s="2" t="s">
        <v>522</v>
      </c>
      <c r="F171" s="2" t="s">
        <v>29</v>
      </c>
      <c r="G171" s="2" t="s">
        <v>23</v>
      </c>
      <c r="H171" s="2" t="s">
        <v>16</v>
      </c>
      <c r="I171" s="2" t="s">
        <v>64</v>
      </c>
    </row>
    <row r="172" spans="1:9" x14ac:dyDescent="0.2">
      <c r="A172" s="2" t="s">
        <v>523</v>
      </c>
      <c r="B172" s="2" t="s">
        <v>116</v>
      </c>
      <c r="C172" s="4">
        <v>45756</v>
      </c>
      <c r="D172" s="4">
        <v>45801</v>
      </c>
      <c r="E172" s="2" t="s">
        <v>524</v>
      </c>
      <c r="F172" s="2" t="s">
        <v>37</v>
      </c>
      <c r="G172" s="2" t="s">
        <v>63</v>
      </c>
      <c r="H172" s="2" t="s">
        <v>16</v>
      </c>
      <c r="I172" s="2" t="s">
        <v>64</v>
      </c>
    </row>
    <row r="173" spans="1:9" x14ac:dyDescent="0.2">
      <c r="A173" s="2" t="s">
        <v>404</v>
      </c>
      <c r="B173" s="2" t="s">
        <v>107</v>
      </c>
      <c r="C173" s="2" t="s">
        <v>405</v>
      </c>
      <c r="D173" s="4">
        <v>45801</v>
      </c>
      <c r="E173" s="2" t="s">
        <v>406</v>
      </c>
      <c r="F173" s="2" t="s">
        <v>29</v>
      </c>
      <c r="G173" s="2" t="s">
        <v>67</v>
      </c>
      <c r="H173" s="2" t="s">
        <v>41</v>
      </c>
    </row>
    <row r="174" spans="1:9" x14ac:dyDescent="0.2">
      <c r="A174" s="2" t="s">
        <v>525</v>
      </c>
      <c r="B174" s="2" t="s">
        <v>60</v>
      </c>
      <c r="C174" s="4">
        <v>45758</v>
      </c>
      <c r="D174" s="2" t="s">
        <v>526</v>
      </c>
      <c r="E174" s="2">
        <v>15865.38</v>
      </c>
      <c r="F174" s="2" t="s">
        <v>14</v>
      </c>
      <c r="G174" s="2" t="s">
        <v>63</v>
      </c>
      <c r="H174" s="2" t="s">
        <v>31</v>
      </c>
      <c r="I174" s="2" t="s">
        <v>58</v>
      </c>
    </row>
    <row r="175" spans="1:9" x14ac:dyDescent="0.2">
      <c r="A175" s="2" t="s">
        <v>527</v>
      </c>
      <c r="B175" s="2" t="s">
        <v>116</v>
      </c>
      <c r="C175" s="2" t="s">
        <v>528</v>
      </c>
      <c r="D175" s="2" t="s">
        <v>529</v>
      </c>
      <c r="E175" s="2" t="s">
        <v>530</v>
      </c>
      <c r="F175" s="2" t="s">
        <v>37</v>
      </c>
      <c r="G175" s="2" t="s">
        <v>67</v>
      </c>
      <c r="H175" s="2" t="s">
        <v>430</v>
      </c>
      <c r="I175" s="2" t="s">
        <v>64</v>
      </c>
    </row>
    <row r="176" spans="1:9" x14ac:dyDescent="0.2">
      <c r="A176" s="2" t="s">
        <v>531</v>
      </c>
      <c r="B176" s="2" t="s">
        <v>33</v>
      </c>
      <c r="C176" s="2" t="s">
        <v>532</v>
      </c>
      <c r="D176" s="2" t="s">
        <v>526</v>
      </c>
      <c r="E176" s="2">
        <v>26385.06</v>
      </c>
      <c r="F176" s="2" t="s">
        <v>37</v>
      </c>
      <c r="G176" s="2" t="s">
        <v>23</v>
      </c>
      <c r="H176" s="2" t="s">
        <v>105</v>
      </c>
    </row>
    <row r="177" spans="1:9" x14ac:dyDescent="0.2">
      <c r="A177" s="2" t="s">
        <v>533</v>
      </c>
      <c r="B177" s="2" t="s">
        <v>12</v>
      </c>
      <c r="C177" s="2" t="s">
        <v>534</v>
      </c>
      <c r="D177" s="4">
        <v>45775</v>
      </c>
      <c r="E177" s="2" t="s">
        <v>535</v>
      </c>
      <c r="F177" s="2" t="s">
        <v>37</v>
      </c>
      <c r="G177" s="2" t="s">
        <v>97</v>
      </c>
      <c r="H177" s="2" t="s">
        <v>82</v>
      </c>
      <c r="I177" s="2" t="s">
        <v>64</v>
      </c>
    </row>
    <row r="178" spans="1:9" x14ac:dyDescent="0.2">
      <c r="A178" s="2" t="s">
        <v>536</v>
      </c>
      <c r="B178" s="2" t="s">
        <v>308</v>
      </c>
      <c r="C178" s="2" t="s">
        <v>537</v>
      </c>
      <c r="D178" s="2" t="s">
        <v>538</v>
      </c>
      <c r="E178" s="2" t="s">
        <v>539</v>
      </c>
      <c r="G178" s="2" t="s">
        <v>254</v>
      </c>
      <c r="H178" s="2" t="s">
        <v>41</v>
      </c>
      <c r="I178" s="2" t="s">
        <v>24</v>
      </c>
    </row>
    <row r="179" spans="1:9" x14ac:dyDescent="0.2">
      <c r="A179" s="2" t="s">
        <v>540</v>
      </c>
      <c r="B179" s="2" t="s">
        <v>12</v>
      </c>
      <c r="C179" s="2" t="s">
        <v>541</v>
      </c>
      <c r="D179" s="4">
        <v>45908</v>
      </c>
      <c r="E179" s="2">
        <v>1664.68</v>
      </c>
      <c r="F179" s="2" t="s">
        <v>22</v>
      </c>
      <c r="G179" s="2" t="s">
        <v>15</v>
      </c>
      <c r="H179" s="2" t="s">
        <v>105</v>
      </c>
    </row>
    <row r="180" spans="1:9" x14ac:dyDescent="0.2">
      <c r="A180" s="2" t="s">
        <v>542</v>
      </c>
      <c r="B180" s="2" t="s">
        <v>43</v>
      </c>
      <c r="C180" s="4">
        <v>45761</v>
      </c>
      <c r="D180" s="2" t="s">
        <v>483</v>
      </c>
      <c r="E180" s="2" t="s">
        <v>543</v>
      </c>
      <c r="F180" s="2" t="s">
        <v>37</v>
      </c>
      <c r="G180" s="2" t="s">
        <v>57</v>
      </c>
      <c r="H180" s="2" t="s">
        <v>31</v>
      </c>
      <c r="I180" s="2" t="s">
        <v>24</v>
      </c>
    </row>
    <row r="181" spans="1:9" x14ac:dyDescent="0.2">
      <c r="A181" s="2" t="s">
        <v>544</v>
      </c>
      <c r="B181" s="2" t="s">
        <v>107</v>
      </c>
      <c r="C181" s="2" t="s">
        <v>545</v>
      </c>
      <c r="D181" s="4">
        <v>45806</v>
      </c>
      <c r="E181" s="2" t="s">
        <v>546</v>
      </c>
      <c r="F181" s="2" t="s">
        <v>37</v>
      </c>
      <c r="G181" s="2" t="s">
        <v>114</v>
      </c>
      <c r="H181" s="2" t="s">
        <v>105</v>
      </c>
    </row>
    <row r="182" spans="1:9" x14ac:dyDescent="0.2">
      <c r="A182" s="2" t="s">
        <v>547</v>
      </c>
      <c r="B182" s="2" t="s">
        <v>74</v>
      </c>
      <c r="C182" s="2" t="s">
        <v>548</v>
      </c>
      <c r="D182" s="4">
        <v>45807</v>
      </c>
      <c r="E182" s="2" t="s">
        <v>549</v>
      </c>
      <c r="F182" s="2" t="s">
        <v>37</v>
      </c>
      <c r="G182" s="2" t="s">
        <v>67</v>
      </c>
      <c r="H182" s="2" t="s">
        <v>105</v>
      </c>
    </row>
    <row r="183" spans="1:9" x14ac:dyDescent="0.2">
      <c r="A183" s="2" t="s">
        <v>550</v>
      </c>
      <c r="B183" s="2" t="s">
        <v>90</v>
      </c>
      <c r="C183" s="2" t="s">
        <v>548</v>
      </c>
      <c r="D183" s="2" t="s">
        <v>551</v>
      </c>
      <c r="E183" s="2" t="s">
        <v>552</v>
      </c>
      <c r="F183" s="2" t="s">
        <v>14</v>
      </c>
      <c r="G183" s="2" t="s">
        <v>94</v>
      </c>
      <c r="H183" s="2" t="s">
        <v>41</v>
      </c>
      <c r="I183" s="2" t="s">
        <v>17</v>
      </c>
    </row>
    <row r="185" spans="1:9" x14ac:dyDescent="0.2">
      <c r="A185" s="2" t="s">
        <v>553</v>
      </c>
      <c r="B185" s="2" t="s">
        <v>26</v>
      </c>
      <c r="C185" s="4">
        <v>45764</v>
      </c>
      <c r="D185" s="4">
        <v>45794</v>
      </c>
      <c r="E185" s="2" t="s">
        <v>554</v>
      </c>
      <c r="F185" s="2" t="s">
        <v>29</v>
      </c>
      <c r="G185" s="2" t="s">
        <v>94</v>
      </c>
      <c r="H185" s="2" t="s">
        <v>41</v>
      </c>
    </row>
    <row r="186" spans="1:9" x14ac:dyDescent="0.2">
      <c r="A186" s="2" t="s">
        <v>555</v>
      </c>
      <c r="B186" s="2" t="s">
        <v>137</v>
      </c>
      <c r="C186" s="2" t="s">
        <v>556</v>
      </c>
      <c r="D186" s="4">
        <v>45809</v>
      </c>
      <c r="E186" s="2" t="s">
        <v>557</v>
      </c>
      <c r="F186" s="2" t="s">
        <v>22</v>
      </c>
      <c r="G186" s="2" t="s">
        <v>67</v>
      </c>
      <c r="H186" s="2" t="s">
        <v>31</v>
      </c>
    </row>
    <row r="187" spans="1:9" x14ac:dyDescent="0.2">
      <c r="A187" s="2" t="s">
        <v>558</v>
      </c>
      <c r="B187" s="2" t="s">
        <v>165</v>
      </c>
      <c r="C187" s="2" t="s">
        <v>559</v>
      </c>
      <c r="D187" s="4">
        <v>45795</v>
      </c>
      <c r="E187" s="2" t="s">
        <v>560</v>
      </c>
      <c r="F187" s="2" t="s">
        <v>37</v>
      </c>
      <c r="G187" s="2" t="s">
        <v>210</v>
      </c>
      <c r="H187" s="2" t="s">
        <v>105</v>
      </c>
    </row>
    <row r="188" spans="1:9" x14ac:dyDescent="0.2">
      <c r="A188" s="2" t="s">
        <v>561</v>
      </c>
      <c r="B188" s="2" t="s">
        <v>308</v>
      </c>
      <c r="C188" s="2" t="s">
        <v>562</v>
      </c>
      <c r="D188" s="2" t="s">
        <v>432</v>
      </c>
      <c r="E188" s="2" t="s">
        <v>563</v>
      </c>
      <c r="F188" s="2" t="s">
        <v>14</v>
      </c>
      <c r="G188" s="2" t="s">
        <v>254</v>
      </c>
      <c r="H188" s="2" t="s">
        <v>105</v>
      </c>
      <c r="I188" s="2" t="s">
        <v>24</v>
      </c>
    </row>
    <row r="189" spans="1:9" x14ac:dyDescent="0.2">
      <c r="A189" s="2" t="s">
        <v>564</v>
      </c>
      <c r="B189" s="2" t="s">
        <v>33</v>
      </c>
      <c r="C189" s="2" t="s">
        <v>363</v>
      </c>
      <c r="D189" s="2" t="s">
        <v>565</v>
      </c>
      <c r="E189" s="2" t="s">
        <v>566</v>
      </c>
      <c r="F189" s="2" t="s">
        <v>37</v>
      </c>
      <c r="G189" s="2" t="s">
        <v>63</v>
      </c>
      <c r="H189" s="2" t="s">
        <v>31</v>
      </c>
      <c r="I189" s="2" t="s">
        <v>58</v>
      </c>
    </row>
    <row r="190" spans="1:9" x14ac:dyDescent="0.2">
      <c r="A190" s="2" t="s">
        <v>567</v>
      </c>
      <c r="B190" s="2" t="s">
        <v>43</v>
      </c>
      <c r="C190" s="2" t="s">
        <v>568</v>
      </c>
      <c r="D190" s="4">
        <v>45796</v>
      </c>
      <c r="E190" s="2">
        <v>1126.75</v>
      </c>
      <c r="F190" s="2" t="s">
        <v>37</v>
      </c>
      <c r="G190" s="2" t="s">
        <v>57</v>
      </c>
      <c r="H190" s="2" t="s">
        <v>41</v>
      </c>
      <c r="I190" s="2" t="s">
        <v>64</v>
      </c>
    </row>
    <row r="191" spans="1:9" x14ac:dyDescent="0.2">
      <c r="A191" s="2" t="s">
        <v>569</v>
      </c>
      <c r="B191" s="2" t="s">
        <v>157</v>
      </c>
      <c r="C191" s="4">
        <v>45767</v>
      </c>
      <c r="D191" s="2" t="s">
        <v>570</v>
      </c>
      <c r="E191" s="2" t="s">
        <v>571</v>
      </c>
      <c r="F191" s="2" t="s">
        <v>22</v>
      </c>
      <c r="G191" s="2" t="s">
        <v>23</v>
      </c>
      <c r="H191" s="2" t="s">
        <v>16</v>
      </c>
      <c r="I191" s="2" t="s">
        <v>58</v>
      </c>
    </row>
    <row r="192" spans="1:9" x14ac:dyDescent="0.2">
      <c r="A192" s="2" t="s">
        <v>572</v>
      </c>
      <c r="B192" s="2" t="s">
        <v>137</v>
      </c>
      <c r="C192" s="4">
        <v>45768</v>
      </c>
      <c r="D192" s="2" t="s">
        <v>573</v>
      </c>
      <c r="E192" s="2" t="s">
        <v>574</v>
      </c>
      <c r="F192" s="2" t="s">
        <v>37</v>
      </c>
      <c r="G192" s="2" t="s">
        <v>23</v>
      </c>
      <c r="H192" s="2" t="s">
        <v>41</v>
      </c>
      <c r="I192" s="2" t="s">
        <v>58</v>
      </c>
    </row>
    <row r="193" spans="1:9" x14ac:dyDescent="0.2">
      <c r="A193" s="2" t="s">
        <v>575</v>
      </c>
      <c r="B193" s="2" t="s">
        <v>137</v>
      </c>
      <c r="C193" s="4">
        <v>45768</v>
      </c>
      <c r="D193" s="4">
        <v>45813</v>
      </c>
      <c r="E193" s="2">
        <v>35433.160000000003</v>
      </c>
      <c r="F193" s="2" t="s">
        <v>37</v>
      </c>
      <c r="G193" s="2" t="s">
        <v>67</v>
      </c>
      <c r="H193" s="2" t="s">
        <v>31</v>
      </c>
      <c r="I193" s="2" t="s">
        <v>24</v>
      </c>
    </row>
    <row r="194" spans="1:9" x14ac:dyDescent="0.2">
      <c r="A194" s="2" t="s">
        <v>576</v>
      </c>
      <c r="B194" s="2" t="s">
        <v>74</v>
      </c>
      <c r="C194" s="2" t="s">
        <v>577</v>
      </c>
      <c r="D194" s="2" t="s">
        <v>578</v>
      </c>
      <c r="E194" s="2" t="s">
        <v>579</v>
      </c>
      <c r="F194" s="2" t="s">
        <v>29</v>
      </c>
      <c r="G194" s="2" t="s">
        <v>63</v>
      </c>
      <c r="H194" s="2" t="s">
        <v>16</v>
      </c>
    </row>
    <row r="195" spans="1:9" x14ac:dyDescent="0.2">
      <c r="A195" s="2" t="s">
        <v>580</v>
      </c>
      <c r="B195" s="2" t="s">
        <v>33</v>
      </c>
      <c r="C195" s="2" t="s">
        <v>581</v>
      </c>
      <c r="D195" s="4">
        <v>46062</v>
      </c>
      <c r="E195" s="2" t="s">
        <v>582</v>
      </c>
      <c r="F195" s="2" t="s">
        <v>37</v>
      </c>
      <c r="G195" s="2" t="s">
        <v>63</v>
      </c>
      <c r="H195" s="2" t="s">
        <v>583</v>
      </c>
    </row>
    <row r="196" spans="1:9" x14ac:dyDescent="0.2">
      <c r="A196" s="2" t="s">
        <v>584</v>
      </c>
      <c r="B196" s="2" t="s">
        <v>60</v>
      </c>
      <c r="C196" s="2" t="s">
        <v>454</v>
      </c>
      <c r="D196" s="4">
        <v>45814</v>
      </c>
      <c r="E196" s="2">
        <v>42260.160000000003</v>
      </c>
      <c r="F196" s="2" t="s">
        <v>37</v>
      </c>
      <c r="G196" s="2" t="s">
        <v>114</v>
      </c>
      <c r="H196" s="2" t="s">
        <v>31</v>
      </c>
      <c r="I196" s="2" t="s">
        <v>24</v>
      </c>
    </row>
    <row r="197" spans="1:9" x14ac:dyDescent="0.2">
      <c r="A197" s="2" t="s">
        <v>585</v>
      </c>
      <c r="B197" s="2" t="s">
        <v>165</v>
      </c>
      <c r="C197" s="4">
        <v>45770</v>
      </c>
      <c r="D197" s="4">
        <v>45800</v>
      </c>
      <c r="E197" s="2" t="s">
        <v>586</v>
      </c>
      <c r="F197" s="2" t="s">
        <v>37</v>
      </c>
      <c r="H197" s="2" t="s">
        <v>16</v>
      </c>
      <c r="I197" s="2" t="s">
        <v>64</v>
      </c>
    </row>
    <row r="198" spans="1:9" x14ac:dyDescent="0.2">
      <c r="A198" s="2" t="s">
        <v>587</v>
      </c>
      <c r="B198" s="2" t="s">
        <v>48</v>
      </c>
      <c r="C198" s="2" t="s">
        <v>588</v>
      </c>
      <c r="D198" s="2" t="s">
        <v>589</v>
      </c>
      <c r="E198" s="2" t="s">
        <v>590</v>
      </c>
      <c r="F198" s="2" t="s">
        <v>14</v>
      </c>
      <c r="G198" s="2" t="s">
        <v>57</v>
      </c>
      <c r="H198" s="2" t="s">
        <v>124</v>
      </c>
      <c r="I198" s="2" t="s">
        <v>17</v>
      </c>
    </row>
    <row r="199" spans="1:9" x14ac:dyDescent="0.2">
      <c r="A199" s="2" t="s">
        <v>591</v>
      </c>
      <c r="B199" s="2" t="s">
        <v>74</v>
      </c>
      <c r="C199" s="2" t="s">
        <v>592</v>
      </c>
      <c r="D199" s="2" t="s">
        <v>593</v>
      </c>
      <c r="E199" s="2">
        <v>17353.8</v>
      </c>
      <c r="F199" s="2" t="s">
        <v>37</v>
      </c>
      <c r="G199" s="2" t="s">
        <v>67</v>
      </c>
      <c r="H199" s="2" t="s">
        <v>82</v>
      </c>
      <c r="I199" s="2" t="s">
        <v>58</v>
      </c>
    </row>
    <row r="200" spans="1:9" x14ac:dyDescent="0.2">
      <c r="A200" s="2" t="s">
        <v>594</v>
      </c>
      <c r="B200" s="2" t="s">
        <v>84</v>
      </c>
      <c r="C200" s="2" t="s">
        <v>147</v>
      </c>
      <c r="D200" s="4">
        <v>45817</v>
      </c>
      <c r="E200" s="2" t="s">
        <v>595</v>
      </c>
      <c r="G200" s="2" t="s">
        <v>63</v>
      </c>
      <c r="H200" s="2" t="s">
        <v>16</v>
      </c>
      <c r="I200" s="2" t="s">
        <v>64</v>
      </c>
    </row>
    <row r="201" spans="1:9" x14ac:dyDescent="0.2">
      <c r="A201" s="2" t="s">
        <v>596</v>
      </c>
      <c r="B201" s="2" t="s">
        <v>198</v>
      </c>
      <c r="C201" s="2" t="s">
        <v>597</v>
      </c>
      <c r="D201" s="2" t="s">
        <v>598</v>
      </c>
      <c r="E201" s="2">
        <v>25907.07</v>
      </c>
      <c r="F201" s="2" t="s">
        <v>37</v>
      </c>
      <c r="G201" s="2" t="s">
        <v>63</v>
      </c>
      <c r="H201" s="2" t="s">
        <v>31</v>
      </c>
      <c r="I201" s="2" t="s">
        <v>64</v>
      </c>
    </row>
    <row r="202" spans="1:9" x14ac:dyDescent="0.2">
      <c r="A202" s="2" t="s">
        <v>599</v>
      </c>
      <c r="B202" s="2" t="s">
        <v>267</v>
      </c>
      <c r="C202" s="2" t="s">
        <v>600</v>
      </c>
      <c r="D202" s="2" t="s">
        <v>601</v>
      </c>
      <c r="E202" s="2" t="s">
        <v>602</v>
      </c>
      <c r="F202" s="2" t="s">
        <v>37</v>
      </c>
      <c r="G202" s="2" t="s">
        <v>30</v>
      </c>
      <c r="H202" s="2" t="s">
        <v>41</v>
      </c>
      <c r="I202" s="2" t="s">
        <v>17</v>
      </c>
    </row>
    <row r="203" spans="1:9" x14ac:dyDescent="0.2">
      <c r="A203" s="2" t="s">
        <v>603</v>
      </c>
      <c r="B203" s="2" t="s">
        <v>79</v>
      </c>
      <c r="C203" s="4">
        <v>45779</v>
      </c>
      <c r="D203" s="2" t="s">
        <v>604</v>
      </c>
      <c r="E203" s="2" t="s">
        <v>605</v>
      </c>
      <c r="G203" s="2" t="s">
        <v>114</v>
      </c>
      <c r="H203" s="2" t="s">
        <v>31</v>
      </c>
      <c r="I203" s="2" t="s">
        <v>58</v>
      </c>
    </row>
    <row r="204" spans="1:9" x14ac:dyDescent="0.2">
      <c r="A204" s="2" t="s">
        <v>606</v>
      </c>
      <c r="B204" s="2" t="s">
        <v>53</v>
      </c>
      <c r="C204" s="2" t="s">
        <v>607</v>
      </c>
      <c r="D204" s="2" t="s">
        <v>608</v>
      </c>
      <c r="E204" s="2" t="s">
        <v>609</v>
      </c>
      <c r="G204" s="2" t="s">
        <v>57</v>
      </c>
      <c r="H204" s="2" t="s">
        <v>41</v>
      </c>
      <c r="I204" s="2" t="s">
        <v>58</v>
      </c>
    </row>
    <row r="205" spans="1:9" x14ac:dyDescent="0.2">
      <c r="A205" s="2" t="s">
        <v>610</v>
      </c>
      <c r="B205" s="2" t="s">
        <v>19</v>
      </c>
      <c r="C205" s="4">
        <v>45780</v>
      </c>
      <c r="D205" s="2" t="s">
        <v>611</v>
      </c>
      <c r="E205" s="2" t="s">
        <v>612</v>
      </c>
      <c r="F205" s="2" t="s">
        <v>37</v>
      </c>
      <c r="G205" s="2" t="s">
        <v>23</v>
      </c>
      <c r="H205" s="2" t="s">
        <v>16</v>
      </c>
      <c r="I205" s="2" t="s">
        <v>64</v>
      </c>
    </row>
    <row r="206" spans="1:9" x14ac:dyDescent="0.2">
      <c r="A206" s="2" t="s">
        <v>156</v>
      </c>
      <c r="B206" s="2" t="s">
        <v>157</v>
      </c>
      <c r="C206" s="2" t="s">
        <v>158</v>
      </c>
      <c r="D206" s="2" t="s">
        <v>159</v>
      </c>
      <c r="E206" s="2" t="s">
        <v>160</v>
      </c>
      <c r="F206" s="2" t="s">
        <v>14</v>
      </c>
      <c r="G206" s="2" t="s">
        <v>63</v>
      </c>
      <c r="H206" s="2" t="s">
        <v>16</v>
      </c>
    </row>
    <row r="207" spans="1:9" x14ac:dyDescent="0.2">
      <c r="A207" s="2" t="s">
        <v>613</v>
      </c>
      <c r="B207" s="2" t="s">
        <v>614</v>
      </c>
      <c r="C207" s="2" t="s">
        <v>615</v>
      </c>
      <c r="D207" s="2" t="s">
        <v>499</v>
      </c>
      <c r="E207" s="2" t="s">
        <v>616</v>
      </c>
      <c r="F207" s="2" t="s">
        <v>37</v>
      </c>
      <c r="G207" s="2" t="s">
        <v>155</v>
      </c>
      <c r="H207" s="2" t="s">
        <v>16</v>
      </c>
      <c r="I207" s="2" t="s">
        <v>64</v>
      </c>
    </row>
    <row r="208" spans="1:9" x14ac:dyDescent="0.2">
      <c r="A208" s="2" t="s">
        <v>617</v>
      </c>
      <c r="B208" s="2" t="s">
        <v>19</v>
      </c>
      <c r="C208" s="4">
        <v>45782</v>
      </c>
      <c r="D208" s="2" t="s">
        <v>618</v>
      </c>
      <c r="E208" s="2">
        <v>46185.58</v>
      </c>
      <c r="F208" s="2" t="s">
        <v>37</v>
      </c>
      <c r="G208" s="2" t="s">
        <v>63</v>
      </c>
      <c r="H208" s="2" t="s">
        <v>31</v>
      </c>
      <c r="I208" s="2" t="s">
        <v>17</v>
      </c>
    </row>
    <row r="209" spans="1:9" x14ac:dyDescent="0.2">
      <c r="A209" s="2" t="s">
        <v>619</v>
      </c>
      <c r="B209" s="2" t="s">
        <v>48</v>
      </c>
      <c r="C209" s="2" t="s">
        <v>620</v>
      </c>
      <c r="D209" s="2" t="s">
        <v>621</v>
      </c>
      <c r="E209" s="2" t="s">
        <v>622</v>
      </c>
      <c r="F209" s="2" t="s">
        <v>37</v>
      </c>
      <c r="G209" s="2" t="s">
        <v>210</v>
      </c>
      <c r="H209" s="2" t="s">
        <v>16</v>
      </c>
    </row>
    <row r="210" spans="1:9" x14ac:dyDescent="0.2">
      <c r="A210" s="2" t="s">
        <v>623</v>
      </c>
      <c r="B210" s="2" t="s">
        <v>84</v>
      </c>
      <c r="C210" s="2" t="s">
        <v>624</v>
      </c>
      <c r="D210" s="2" t="s">
        <v>625</v>
      </c>
      <c r="E210" s="2" t="s">
        <v>626</v>
      </c>
      <c r="F210" s="2" t="s">
        <v>14</v>
      </c>
      <c r="G210" s="2" t="s">
        <v>23</v>
      </c>
      <c r="H210" s="2" t="s">
        <v>31</v>
      </c>
      <c r="I210" s="2" t="s">
        <v>24</v>
      </c>
    </row>
    <row r="211" spans="1:9" x14ac:dyDescent="0.2">
      <c r="A211" s="2" t="s">
        <v>627</v>
      </c>
      <c r="B211" s="2" t="s">
        <v>267</v>
      </c>
      <c r="C211" s="4">
        <v>45784</v>
      </c>
      <c r="D211" s="2" t="s">
        <v>628</v>
      </c>
      <c r="E211" s="2" t="s">
        <v>629</v>
      </c>
      <c r="F211" s="2" t="s">
        <v>630</v>
      </c>
      <c r="G211" s="2" t="s">
        <v>94</v>
      </c>
      <c r="H211" s="2" t="s">
        <v>105</v>
      </c>
    </row>
    <row r="212" spans="1:9" x14ac:dyDescent="0.2">
      <c r="A212" s="2" t="s">
        <v>631</v>
      </c>
      <c r="B212" s="2" t="s">
        <v>84</v>
      </c>
      <c r="C212" s="4">
        <v>45784</v>
      </c>
      <c r="D212" s="4">
        <v>45829</v>
      </c>
      <c r="E212" s="2" t="s">
        <v>632</v>
      </c>
      <c r="F212" s="2" t="s">
        <v>37</v>
      </c>
      <c r="G212" s="2" t="s">
        <v>23</v>
      </c>
      <c r="H212" s="2" t="s">
        <v>31</v>
      </c>
      <c r="I212" s="2" t="s">
        <v>24</v>
      </c>
    </row>
    <row r="213" spans="1:9" x14ac:dyDescent="0.2">
      <c r="A213" s="2" t="s">
        <v>633</v>
      </c>
      <c r="B213" s="2" t="s">
        <v>107</v>
      </c>
      <c r="C213" s="2" t="s">
        <v>634</v>
      </c>
      <c r="D213" s="2" t="s">
        <v>635</v>
      </c>
      <c r="E213" s="2">
        <v>12186.3</v>
      </c>
      <c r="F213" s="2" t="s">
        <v>37</v>
      </c>
      <c r="G213" s="2" t="s">
        <v>114</v>
      </c>
      <c r="H213" s="2" t="s">
        <v>31</v>
      </c>
    </row>
    <row r="214" spans="1:9" x14ac:dyDescent="0.2">
      <c r="A214" s="2" t="s">
        <v>636</v>
      </c>
      <c r="B214" s="2" t="s">
        <v>103</v>
      </c>
      <c r="C214" s="2" t="s">
        <v>459</v>
      </c>
      <c r="D214" s="2" t="s">
        <v>637</v>
      </c>
      <c r="E214" s="2" t="s">
        <v>638</v>
      </c>
      <c r="F214" s="2" t="s">
        <v>22</v>
      </c>
      <c r="G214" s="2" t="s">
        <v>23</v>
      </c>
      <c r="H214" s="2" t="s">
        <v>31</v>
      </c>
    </row>
    <row r="215" spans="1:9" x14ac:dyDescent="0.2">
      <c r="A215" s="2" t="s">
        <v>639</v>
      </c>
      <c r="B215" s="2" t="s">
        <v>103</v>
      </c>
      <c r="C215" s="2" t="s">
        <v>640</v>
      </c>
      <c r="D215" s="4">
        <v>45831</v>
      </c>
      <c r="E215" s="2" t="s">
        <v>641</v>
      </c>
      <c r="F215" s="2" t="s">
        <v>29</v>
      </c>
      <c r="G215" s="2" t="s">
        <v>67</v>
      </c>
      <c r="H215" s="2" t="s">
        <v>31</v>
      </c>
      <c r="I215" s="2" t="s">
        <v>24</v>
      </c>
    </row>
    <row r="216" spans="1:9" x14ac:dyDescent="0.2">
      <c r="A216" s="2" t="s">
        <v>642</v>
      </c>
      <c r="B216" s="2" t="s">
        <v>60</v>
      </c>
      <c r="C216" s="2" t="s">
        <v>643</v>
      </c>
      <c r="D216" s="2" t="s">
        <v>644</v>
      </c>
      <c r="E216" s="2" t="s">
        <v>645</v>
      </c>
      <c r="F216" s="2" t="s">
        <v>37</v>
      </c>
      <c r="G216" s="2" t="s">
        <v>63</v>
      </c>
      <c r="H216" s="2" t="s">
        <v>41</v>
      </c>
    </row>
    <row r="217" spans="1:9" x14ac:dyDescent="0.2">
      <c r="A217" s="2" t="s">
        <v>646</v>
      </c>
      <c r="B217" s="2" t="s">
        <v>90</v>
      </c>
      <c r="C217" s="2" t="s">
        <v>643</v>
      </c>
      <c r="D217" s="4">
        <v>45817</v>
      </c>
      <c r="E217" s="2" t="s">
        <v>647</v>
      </c>
      <c r="F217" s="2" t="s">
        <v>37</v>
      </c>
      <c r="G217" s="2" t="s">
        <v>249</v>
      </c>
      <c r="H217" s="2" t="s">
        <v>105</v>
      </c>
      <c r="I217" s="2" t="s">
        <v>24</v>
      </c>
    </row>
    <row r="218" spans="1:9" x14ac:dyDescent="0.2">
      <c r="A218" s="2" t="s">
        <v>123</v>
      </c>
      <c r="B218" s="2" t="s">
        <v>116</v>
      </c>
      <c r="C218" s="4">
        <v>45787</v>
      </c>
      <c r="D218" s="4">
        <v>45832</v>
      </c>
      <c r="E218" s="2">
        <v>46241.279999999999</v>
      </c>
      <c r="F218" s="2" t="s">
        <v>37</v>
      </c>
      <c r="G218" s="2" t="s">
        <v>67</v>
      </c>
      <c r="H218" s="2" t="s">
        <v>124</v>
      </c>
      <c r="I218" s="2" t="s">
        <v>64</v>
      </c>
    </row>
    <row r="219" spans="1:9" x14ac:dyDescent="0.2">
      <c r="A219" s="2" t="s">
        <v>648</v>
      </c>
      <c r="B219" s="2" t="s">
        <v>107</v>
      </c>
      <c r="C219" s="2" t="s">
        <v>649</v>
      </c>
      <c r="D219" s="2" t="s">
        <v>650</v>
      </c>
      <c r="E219" s="2" t="s">
        <v>651</v>
      </c>
      <c r="F219" s="2" t="s">
        <v>37</v>
      </c>
      <c r="G219" s="2" t="s">
        <v>23</v>
      </c>
      <c r="H219" s="2" t="s">
        <v>31</v>
      </c>
    </row>
    <row r="220" spans="1:9" x14ac:dyDescent="0.2">
      <c r="A220" s="2" t="s">
        <v>652</v>
      </c>
      <c r="B220" s="2" t="s">
        <v>103</v>
      </c>
      <c r="C220" s="2" t="s">
        <v>474</v>
      </c>
      <c r="D220" s="4">
        <v>45834</v>
      </c>
      <c r="E220" s="2">
        <v>21162.12</v>
      </c>
      <c r="F220" s="2" t="s">
        <v>29</v>
      </c>
      <c r="G220" s="2" t="s">
        <v>114</v>
      </c>
      <c r="H220" s="2" t="s">
        <v>16</v>
      </c>
    </row>
    <row r="221" spans="1:9" x14ac:dyDescent="0.2">
      <c r="A221" s="2" t="s">
        <v>653</v>
      </c>
      <c r="B221" s="2" t="s">
        <v>107</v>
      </c>
      <c r="C221" s="2" t="s">
        <v>654</v>
      </c>
      <c r="D221" s="2" t="s">
        <v>655</v>
      </c>
      <c r="E221" s="2">
        <v>27951.52</v>
      </c>
      <c r="F221" s="2" t="s">
        <v>37</v>
      </c>
      <c r="G221" s="2" t="s">
        <v>23</v>
      </c>
      <c r="H221" s="2" t="s">
        <v>105</v>
      </c>
    </row>
    <row r="222" spans="1:9" x14ac:dyDescent="0.2">
      <c r="A222" s="2" t="s">
        <v>656</v>
      </c>
      <c r="B222" s="2" t="s">
        <v>195</v>
      </c>
      <c r="C222" s="2" t="s">
        <v>657</v>
      </c>
      <c r="D222" s="2" t="s">
        <v>658</v>
      </c>
      <c r="E222" s="2" t="s">
        <v>659</v>
      </c>
      <c r="F222" s="2" t="s">
        <v>29</v>
      </c>
      <c r="G222" s="2" t="s">
        <v>299</v>
      </c>
      <c r="H222" s="2" t="s">
        <v>16</v>
      </c>
      <c r="I222" s="2" t="s">
        <v>24</v>
      </c>
    </row>
    <row r="223" spans="1:9" x14ac:dyDescent="0.2">
      <c r="A223" s="2" t="s">
        <v>660</v>
      </c>
      <c r="B223" s="2" t="s">
        <v>103</v>
      </c>
      <c r="C223" s="2" t="s">
        <v>661</v>
      </c>
      <c r="D223" s="4">
        <v>45836</v>
      </c>
      <c r="E223" s="2" t="s">
        <v>662</v>
      </c>
      <c r="F223" s="2" t="s">
        <v>29</v>
      </c>
      <c r="G223" s="2" t="s">
        <v>23</v>
      </c>
      <c r="H223" s="2" t="s">
        <v>31</v>
      </c>
    </row>
    <row r="224" spans="1:9" x14ac:dyDescent="0.2">
      <c r="A224" s="2" t="s">
        <v>663</v>
      </c>
      <c r="B224" s="2" t="s">
        <v>118</v>
      </c>
      <c r="C224" s="4">
        <v>45791</v>
      </c>
      <c r="D224" s="2" t="s">
        <v>664</v>
      </c>
      <c r="E224" s="2">
        <v>3332.57</v>
      </c>
      <c r="F224" s="2" t="s">
        <v>29</v>
      </c>
      <c r="G224" s="2" t="s">
        <v>299</v>
      </c>
      <c r="H224" s="2" t="s">
        <v>41</v>
      </c>
      <c r="I224" s="2" t="s">
        <v>17</v>
      </c>
    </row>
    <row r="225" spans="1:9" x14ac:dyDescent="0.2">
      <c r="A225" s="2" t="s">
        <v>665</v>
      </c>
      <c r="B225" s="2" t="s">
        <v>79</v>
      </c>
      <c r="C225" s="4">
        <v>45792</v>
      </c>
      <c r="D225" s="2" t="s">
        <v>666</v>
      </c>
      <c r="E225" s="2">
        <v>43984.87</v>
      </c>
      <c r="F225" s="2" t="s">
        <v>37</v>
      </c>
      <c r="G225" s="2" t="s">
        <v>63</v>
      </c>
      <c r="H225" s="2" t="s">
        <v>105</v>
      </c>
      <c r="I225" s="2" t="s">
        <v>58</v>
      </c>
    </row>
    <row r="226" spans="1:9" x14ac:dyDescent="0.2">
      <c r="A226" s="2" t="s">
        <v>667</v>
      </c>
      <c r="B226" s="2" t="s">
        <v>74</v>
      </c>
      <c r="C226" s="2" t="s">
        <v>668</v>
      </c>
      <c r="D226" s="2" t="s">
        <v>669</v>
      </c>
      <c r="E226" s="2" t="s">
        <v>670</v>
      </c>
      <c r="F226" s="2" t="s">
        <v>37</v>
      </c>
      <c r="G226" s="2" t="s">
        <v>63</v>
      </c>
      <c r="H226" s="2" t="s">
        <v>41</v>
      </c>
      <c r="I226" s="2" t="s">
        <v>58</v>
      </c>
    </row>
    <row r="227" spans="1:9" x14ac:dyDescent="0.2">
      <c r="A227" s="2" t="s">
        <v>671</v>
      </c>
      <c r="B227" s="2" t="s">
        <v>48</v>
      </c>
      <c r="C227" s="4">
        <v>45794</v>
      </c>
      <c r="D227" s="4">
        <v>45824</v>
      </c>
      <c r="E227" s="2">
        <v>6604.02</v>
      </c>
      <c r="F227" s="2" t="s">
        <v>37</v>
      </c>
      <c r="G227" s="2" t="s">
        <v>210</v>
      </c>
      <c r="H227" s="2" t="s">
        <v>68</v>
      </c>
    </row>
    <row r="228" spans="1:9" x14ac:dyDescent="0.2">
      <c r="A228" s="2" t="s">
        <v>672</v>
      </c>
      <c r="B228" s="2" t="s">
        <v>60</v>
      </c>
      <c r="C228" s="2" t="s">
        <v>673</v>
      </c>
      <c r="D228" s="2" t="s">
        <v>669</v>
      </c>
      <c r="E228" s="2" t="s">
        <v>674</v>
      </c>
      <c r="F228" s="2" t="s">
        <v>37</v>
      </c>
      <c r="G228" s="2" t="s">
        <v>63</v>
      </c>
      <c r="H228" s="2" t="s">
        <v>105</v>
      </c>
    </row>
    <row r="229" spans="1:9" x14ac:dyDescent="0.2">
      <c r="A229" s="2" t="s">
        <v>675</v>
      </c>
      <c r="B229" s="2" t="s">
        <v>90</v>
      </c>
      <c r="C229" s="4">
        <v>45795</v>
      </c>
      <c r="D229" s="4">
        <v>45825</v>
      </c>
      <c r="E229" s="2" t="s">
        <v>676</v>
      </c>
      <c r="F229" s="2" t="s">
        <v>14</v>
      </c>
      <c r="G229" s="2" t="s">
        <v>94</v>
      </c>
      <c r="H229" s="2" t="s">
        <v>304</v>
      </c>
      <c r="I229" s="2" t="s">
        <v>58</v>
      </c>
    </row>
    <row r="230" spans="1:9" x14ac:dyDescent="0.2">
      <c r="A230" s="2" t="s">
        <v>677</v>
      </c>
      <c r="B230" s="2" t="s">
        <v>267</v>
      </c>
      <c r="C230" s="2" t="s">
        <v>678</v>
      </c>
      <c r="D230" s="2" t="s">
        <v>679</v>
      </c>
      <c r="E230" s="2" t="s">
        <v>680</v>
      </c>
      <c r="F230" s="2" t="s">
        <v>37</v>
      </c>
      <c r="G230" s="2" t="s">
        <v>94</v>
      </c>
      <c r="H230" s="2" t="s">
        <v>31</v>
      </c>
    </row>
    <row r="231" spans="1:9" x14ac:dyDescent="0.2">
      <c r="A231" s="2" t="s">
        <v>681</v>
      </c>
      <c r="B231" s="2" t="s">
        <v>19</v>
      </c>
      <c r="C231" s="2" t="s">
        <v>682</v>
      </c>
      <c r="D231" s="2" t="s">
        <v>683</v>
      </c>
      <c r="E231" s="2" t="s">
        <v>684</v>
      </c>
      <c r="F231" s="2" t="s">
        <v>29</v>
      </c>
      <c r="G231" s="2" t="s">
        <v>23</v>
      </c>
      <c r="H231" s="2" t="s">
        <v>105</v>
      </c>
    </row>
    <row r="232" spans="1:9" x14ac:dyDescent="0.2">
      <c r="A232" s="2" t="s">
        <v>685</v>
      </c>
      <c r="B232" s="2" t="s">
        <v>141</v>
      </c>
      <c r="C232" s="2" t="s">
        <v>352</v>
      </c>
      <c r="D232" s="4">
        <v>45841</v>
      </c>
      <c r="E232" s="2" t="s">
        <v>353</v>
      </c>
      <c r="F232" s="2" t="s">
        <v>37</v>
      </c>
      <c r="G232" s="2" t="s">
        <v>114</v>
      </c>
      <c r="H232" s="2" t="s">
        <v>16</v>
      </c>
      <c r="I232" s="2" t="s">
        <v>64</v>
      </c>
    </row>
    <row r="233" spans="1:9" x14ac:dyDescent="0.2">
      <c r="A233" s="2" t="s">
        <v>686</v>
      </c>
      <c r="B233" s="2" t="s">
        <v>157</v>
      </c>
      <c r="C233" s="4">
        <v>45796</v>
      </c>
      <c r="D233" s="4">
        <v>45841</v>
      </c>
      <c r="E233" s="2">
        <v>22030.71</v>
      </c>
      <c r="F233" s="2" t="s">
        <v>29</v>
      </c>
      <c r="G233" s="2" t="s">
        <v>114</v>
      </c>
      <c r="H233" s="2" t="s">
        <v>31</v>
      </c>
      <c r="I233" s="2" t="s">
        <v>17</v>
      </c>
    </row>
    <row r="234" spans="1:9" x14ac:dyDescent="0.2">
      <c r="A234" s="2" t="s">
        <v>687</v>
      </c>
      <c r="B234" s="2" t="s">
        <v>90</v>
      </c>
      <c r="C234" s="2" t="s">
        <v>507</v>
      </c>
      <c r="D234" s="4">
        <v>45827</v>
      </c>
      <c r="E234" s="2" t="s">
        <v>688</v>
      </c>
      <c r="F234" s="2" t="s">
        <v>37</v>
      </c>
      <c r="G234" s="2" t="s">
        <v>249</v>
      </c>
      <c r="H234" s="2" t="s">
        <v>105</v>
      </c>
    </row>
    <row r="235" spans="1:9" x14ac:dyDescent="0.2">
      <c r="A235" s="2" t="s">
        <v>689</v>
      </c>
      <c r="B235" s="2" t="s">
        <v>19</v>
      </c>
      <c r="C235" s="2" t="s">
        <v>690</v>
      </c>
      <c r="D235" s="4">
        <v>45843</v>
      </c>
      <c r="E235" s="2">
        <v>43822.74</v>
      </c>
      <c r="F235" s="2" t="s">
        <v>37</v>
      </c>
      <c r="G235" s="2" t="s">
        <v>63</v>
      </c>
      <c r="H235" s="2" t="s">
        <v>31</v>
      </c>
    </row>
    <row r="236" spans="1:9" x14ac:dyDescent="0.2">
      <c r="A236" s="2" t="s">
        <v>691</v>
      </c>
      <c r="B236" s="2" t="s">
        <v>157</v>
      </c>
      <c r="C236" s="4">
        <v>45799</v>
      </c>
      <c r="D236" s="2" t="s">
        <v>692</v>
      </c>
      <c r="E236" s="2" t="s">
        <v>693</v>
      </c>
      <c r="F236" s="2" t="s">
        <v>37</v>
      </c>
      <c r="G236" s="2" t="s">
        <v>67</v>
      </c>
      <c r="H236" s="2" t="s">
        <v>105</v>
      </c>
      <c r="I236" s="2" t="s">
        <v>64</v>
      </c>
    </row>
    <row r="237" spans="1:9" x14ac:dyDescent="0.2">
      <c r="A237" s="2" t="s">
        <v>694</v>
      </c>
      <c r="B237" s="2" t="s">
        <v>60</v>
      </c>
      <c r="C237" s="2" t="s">
        <v>509</v>
      </c>
      <c r="D237" s="2" t="s">
        <v>692</v>
      </c>
      <c r="E237" s="2">
        <v>11761.31</v>
      </c>
      <c r="G237" s="2" t="s">
        <v>63</v>
      </c>
      <c r="H237" s="2" t="s">
        <v>105</v>
      </c>
    </row>
    <row r="238" spans="1:9" x14ac:dyDescent="0.2">
      <c r="A238" s="2" t="s">
        <v>695</v>
      </c>
      <c r="B238" s="2" t="s">
        <v>74</v>
      </c>
      <c r="C238" s="2" t="s">
        <v>696</v>
      </c>
      <c r="D238" s="2" t="s">
        <v>697</v>
      </c>
      <c r="E238" s="2" t="s">
        <v>698</v>
      </c>
      <c r="F238" s="2" t="s">
        <v>37</v>
      </c>
      <c r="G238" s="2" t="s">
        <v>67</v>
      </c>
      <c r="H238" s="2" t="s">
        <v>16</v>
      </c>
      <c r="I238" s="2" t="s">
        <v>58</v>
      </c>
    </row>
    <row r="239" spans="1:9" x14ac:dyDescent="0.2">
      <c r="A239" s="2" t="s">
        <v>140</v>
      </c>
      <c r="B239" s="2" t="s">
        <v>141</v>
      </c>
      <c r="C239" s="4">
        <v>45801</v>
      </c>
      <c r="D239" s="2" t="s">
        <v>142</v>
      </c>
      <c r="E239" s="2" t="s">
        <v>143</v>
      </c>
      <c r="F239" s="2" t="s">
        <v>37</v>
      </c>
      <c r="G239" s="2" t="s">
        <v>114</v>
      </c>
      <c r="H239" s="2" t="s">
        <v>31</v>
      </c>
      <c r="I239" s="2" t="s">
        <v>64</v>
      </c>
    </row>
    <row r="240" spans="1:9" x14ac:dyDescent="0.2">
      <c r="A240" s="2" t="s">
        <v>699</v>
      </c>
      <c r="B240" s="2" t="s">
        <v>79</v>
      </c>
      <c r="C240" s="2" t="s">
        <v>700</v>
      </c>
      <c r="D240" s="2" t="s">
        <v>701</v>
      </c>
      <c r="E240" s="2">
        <v>17101.96</v>
      </c>
      <c r="F240" s="2" t="s">
        <v>37</v>
      </c>
      <c r="G240" s="2" t="s">
        <v>63</v>
      </c>
      <c r="H240" s="2" t="s">
        <v>68</v>
      </c>
    </row>
    <row r="241" spans="1:9" x14ac:dyDescent="0.2">
      <c r="A241" s="2" t="s">
        <v>702</v>
      </c>
      <c r="B241" s="2" t="s">
        <v>103</v>
      </c>
      <c r="C241" s="4">
        <v>45802</v>
      </c>
      <c r="D241" s="2" t="s">
        <v>703</v>
      </c>
      <c r="E241" s="2">
        <v>6129.95</v>
      </c>
      <c r="F241" s="2" t="s">
        <v>37</v>
      </c>
      <c r="G241" s="2" t="s">
        <v>63</v>
      </c>
      <c r="H241" s="2" t="s">
        <v>41</v>
      </c>
      <c r="I241" s="2" t="s">
        <v>64</v>
      </c>
    </row>
    <row r="242" spans="1:9" x14ac:dyDescent="0.2">
      <c r="A242" s="2" t="s">
        <v>704</v>
      </c>
      <c r="B242" s="2" t="s">
        <v>107</v>
      </c>
      <c r="C242" s="2" t="s">
        <v>705</v>
      </c>
      <c r="D242" s="4">
        <v>45847</v>
      </c>
      <c r="E242" s="2" t="s">
        <v>706</v>
      </c>
      <c r="F242" s="2" t="s">
        <v>29</v>
      </c>
      <c r="G242" s="2" t="s">
        <v>114</v>
      </c>
      <c r="H242" s="2" t="s">
        <v>31</v>
      </c>
      <c r="I242" s="2" t="s">
        <v>24</v>
      </c>
    </row>
    <row r="243" spans="1:9" x14ac:dyDescent="0.2">
      <c r="A243" s="2" t="s">
        <v>707</v>
      </c>
      <c r="B243" s="2" t="s">
        <v>26</v>
      </c>
      <c r="C243" s="2" t="s">
        <v>708</v>
      </c>
      <c r="D243" s="2" t="s">
        <v>709</v>
      </c>
      <c r="E243" s="2">
        <v>5380.22</v>
      </c>
      <c r="F243" s="2" t="s">
        <v>37</v>
      </c>
      <c r="G243" s="2" t="s">
        <v>94</v>
      </c>
      <c r="H243" s="2" t="s">
        <v>41</v>
      </c>
    </row>
    <row r="244" spans="1:9" x14ac:dyDescent="0.2">
      <c r="A244" s="2" t="s">
        <v>710</v>
      </c>
      <c r="B244" s="2" t="s">
        <v>137</v>
      </c>
      <c r="C244" s="4">
        <v>45805</v>
      </c>
      <c r="D244" s="2" t="s">
        <v>711</v>
      </c>
      <c r="E244" s="2" t="s">
        <v>712</v>
      </c>
      <c r="F244" s="2" t="s">
        <v>14</v>
      </c>
      <c r="G244" s="2" t="s">
        <v>67</v>
      </c>
      <c r="H244" s="2" t="s">
        <v>41</v>
      </c>
      <c r="I244" s="2" t="s">
        <v>24</v>
      </c>
    </row>
    <row r="245" spans="1:9" x14ac:dyDescent="0.2">
      <c r="A245" s="2" t="s">
        <v>713</v>
      </c>
      <c r="B245" s="2" t="s">
        <v>90</v>
      </c>
      <c r="C245" s="2" t="s">
        <v>714</v>
      </c>
      <c r="D245" s="2" t="s">
        <v>655</v>
      </c>
      <c r="E245" s="2">
        <v>17327.91</v>
      </c>
      <c r="F245" s="2" t="s">
        <v>22</v>
      </c>
      <c r="G245" s="2" t="s">
        <v>249</v>
      </c>
      <c r="H245" s="2" t="s">
        <v>41</v>
      </c>
      <c r="I245" s="2" t="s">
        <v>24</v>
      </c>
    </row>
    <row r="246" spans="1:9" x14ac:dyDescent="0.2">
      <c r="A246" s="2" t="s">
        <v>715</v>
      </c>
      <c r="B246" s="2" t="s">
        <v>33</v>
      </c>
      <c r="C246" s="2" t="s">
        <v>716</v>
      </c>
      <c r="D246" s="2" t="s">
        <v>717</v>
      </c>
      <c r="E246" s="2" t="s">
        <v>718</v>
      </c>
      <c r="F246" s="2" t="s">
        <v>37</v>
      </c>
      <c r="G246" s="2" t="s">
        <v>63</v>
      </c>
      <c r="H246" s="2" t="s">
        <v>41</v>
      </c>
    </row>
    <row r="247" spans="1:9" x14ac:dyDescent="0.2">
      <c r="A247" s="2" t="s">
        <v>719</v>
      </c>
      <c r="B247" s="2" t="s">
        <v>60</v>
      </c>
      <c r="C247" s="4">
        <v>45805</v>
      </c>
      <c r="D247" s="2" t="s">
        <v>717</v>
      </c>
      <c r="E247" s="2" t="s">
        <v>720</v>
      </c>
      <c r="F247" s="2" t="s">
        <v>37</v>
      </c>
      <c r="G247" s="2" t="s">
        <v>63</v>
      </c>
      <c r="H247" s="2" t="s">
        <v>31</v>
      </c>
      <c r="I247" s="2" t="s">
        <v>58</v>
      </c>
    </row>
    <row r="248" spans="1:9" x14ac:dyDescent="0.2">
      <c r="A248" s="2" t="s">
        <v>721</v>
      </c>
      <c r="B248" s="2" t="s">
        <v>116</v>
      </c>
      <c r="C248" s="2" t="s">
        <v>722</v>
      </c>
      <c r="D248" s="4">
        <v>45854</v>
      </c>
      <c r="E248" s="2">
        <v>26539.54</v>
      </c>
      <c r="F248" s="2" t="s">
        <v>22</v>
      </c>
      <c r="G248" s="2" t="s">
        <v>63</v>
      </c>
      <c r="H248" s="2" t="s">
        <v>68</v>
      </c>
    </row>
    <row r="249" spans="1:9" x14ac:dyDescent="0.2">
      <c r="A249" s="2" t="s">
        <v>723</v>
      </c>
      <c r="B249" s="2" t="s">
        <v>79</v>
      </c>
      <c r="C249" s="4">
        <v>45809</v>
      </c>
      <c r="D249" s="4">
        <v>45854</v>
      </c>
      <c r="E249" s="2">
        <v>32248.14</v>
      </c>
      <c r="F249" s="2" t="s">
        <v>37</v>
      </c>
      <c r="G249" s="2" t="s">
        <v>67</v>
      </c>
      <c r="H249" s="2" t="s">
        <v>31</v>
      </c>
      <c r="I249" s="2" t="s">
        <v>58</v>
      </c>
    </row>
    <row r="250" spans="1:9" x14ac:dyDescent="0.2">
      <c r="A250" s="2" t="s">
        <v>724</v>
      </c>
      <c r="B250" s="2" t="s">
        <v>116</v>
      </c>
      <c r="C250" s="2" t="s">
        <v>725</v>
      </c>
      <c r="D250" s="2" t="s">
        <v>726</v>
      </c>
      <c r="E250" s="2">
        <v>24384.29</v>
      </c>
      <c r="F250" s="2" t="s">
        <v>37</v>
      </c>
      <c r="G250" s="2" t="s">
        <v>114</v>
      </c>
      <c r="H250" s="2" t="s">
        <v>16</v>
      </c>
    </row>
    <row r="251" spans="1:9" x14ac:dyDescent="0.2">
      <c r="A251" s="2" t="s">
        <v>727</v>
      </c>
      <c r="B251" s="2" t="s">
        <v>84</v>
      </c>
      <c r="C251" s="2" t="s">
        <v>728</v>
      </c>
      <c r="D251" s="2" t="s">
        <v>729</v>
      </c>
      <c r="E251" s="2" t="s">
        <v>730</v>
      </c>
      <c r="F251" s="2" t="s">
        <v>37</v>
      </c>
      <c r="G251" s="2" t="s">
        <v>67</v>
      </c>
      <c r="H251" s="2" t="s">
        <v>105</v>
      </c>
    </row>
    <row r="252" spans="1:9" x14ac:dyDescent="0.2">
      <c r="A252" s="2" t="s">
        <v>731</v>
      </c>
      <c r="B252" s="2" t="s">
        <v>198</v>
      </c>
      <c r="C252" s="4">
        <v>45810</v>
      </c>
      <c r="D252" s="4">
        <v>45855</v>
      </c>
      <c r="E252" s="2" t="s">
        <v>732</v>
      </c>
      <c r="F252" s="2" t="s">
        <v>37</v>
      </c>
      <c r="G252" s="2" t="s">
        <v>63</v>
      </c>
      <c r="H252" s="2" t="s">
        <v>16</v>
      </c>
    </row>
    <row r="253" spans="1:9" x14ac:dyDescent="0.2">
      <c r="A253" s="2" t="s">
        <v>733</v>
      </c>
      <c r="B253" s="2" t="s">
        <v>116</v>
      </c>
      <c r="C253" s="4">
        <v>45810</v>
      </c>
      <c r="D253" s="2" t="s">
        <v>734</v>
      </c>
      <c r="E253" s="2" t="s">
        <v>735</v>
      </c>
      <c r="F253" s="2" t="s">
        <v>37</v>
      </c>
      <c r="G253" s="2" t="s">
        <v>114</v>
      </c>
      <c r="H253" s="2" t="s">
        <v>16</v>
      </c>
    </row>
    <row r="254" spans="1:9" x14ac:dyDescent="0.2">
      <c r="A254" s="2" t="s">
        <v>736</v>
      </c>
      <c r="B254" s="2" t="s">
        <v>103</v>
      </c>
      <c r="C254" s="4">
        <v>45811</v>
      </c>
      <c r="D254" s="2" t="s">
        <v>737</v>
      </c>
      <c r="E254" s="2" t="s">
        <v>738</v>
      </c>
      <c r="F254" s="2" t="s">
        <v>37</v>
      </c>
      <c r="G254" s="2" t="s">
        <v>63</v>
      </c>
      <c r="H254" s="2" t="s">
        <v>31</v>
      </c>
    </row>
    <row r="255" spans="1:9" x14ac:dyDescent="0.2">
      <c r="A255" s="2" t="s">
        <v>739</v>
      </c>
      <c r="B255" s="2" t="s">
        <v>60</v>
      </c>
      <c r="C255" s="4">
        <v>45811</v>
      </c>
      <c r="D255" s="2" t="s">
        <v>737</v>
      </c>
      <c r="E255" s="2" t="s">
        <v>740</v>
      </c>
      <c r="F255" s="2" t="s">
        <v>37</v>
      </c>
      <c r="G255" s="2" t="s">
        <v>67</v>
      </c>
      <c r="H255" s="2" t="s">
        <v>41</v>
      </c>
      <c r="I255" s="2" t="s">
        <v>24</v>
      </c>
    </row>
    <row r="256" spans="1:9" x14ac:dyDescent="0.2">
      <c r="A256" s="2" t="s">
        <v>741</v>
      </c>
      <c r="B256" s="2" t="s">
        <v>103</v>
      </c>
      <c r="C256" s="4">
        <v>45811</v>
      </c>
      <c r="D256" s="4">
        <v>45856</v>
      </c>
      <c r="E256" s="2">
        <v>8774.02</v>
      </c>
      <c r="G256" s="2" t="s">
        <v>67</v>
      </c>
      <c r="H256" s="2" t="s">
        <v>31</v>
      </c>
      <c r="I256" s="2" t="s">
        <v>64</v>
      </c>
    </row>
    <row r="257" spans="1:9" x14ac:dyDescent="0.2">
      <c r="A257" s="2" t="s">
        <v>742</v>
      </c>
      <c r="B257" s="2" t="s">
        <v>157</v>
      </c>
      <c r="C257" s="2" t="s">
        <v>743</v>
      </c>
      <c r="D257" s="2" t="s">
        <v>744</v>
      </c>
      <c r="E257" s="2" t="s">
        <v>745</v>
      </c>
      <c r="F257" s="2" t="s">
        <v>37</v>
      </c>
      <c r="G257" s="2" t="s">
        <v>67</v>
      </c>
      <c r="H257" s="2" t="s">
        <v>41</v>
      </c>
      <c r="I257" s="2" t="s">
        <v>64</v>
      </c>
    </row>
    <row r="258" spans="1:9" x14ac:dyDescent="0.2">
      <c r="A258" s="2" t="s">
        <v>746</v>
      </c>
      <c r="B258" s="2" t="s">
        <v>165</v>
      </c>
      <c r="C258" s="4">
        <v>45811</v>
      </c>
      <c r="D258" s="4">
        <v>45841</v>
      </c>
      <c r="E258" s="2" t="s">
        <v>747</v>
      </c>
      <c r="F258" s="2" t="s">
        <v>22</v>
      </c>
      <c r="G258" s="2" t="s">
        <v>169</v>
      </c>
      <c r="H258" s="2" t="s">
        <v>41</v>
      </c>
      <c r="I258" s="2" t="s">
        <v>58</v>
      </c>
    </row>
    <row r="259" spans="1:9" x14ac:dyDescent="0.2">
      <c r="A259" s="2" t="s">
        <v>748</v>
      </c>
      <c r="B259" s="2" t="s">
        <v>251</v>
      </c>
      <c r="C259" s="2" t="s">
        <v>749</v>
      </c>
      <c r="D259" s="4">
        <v>45826</v>
      </c>
      <c r="E259" s="2">
        <v>2089.29</v>
      </c>
      <c r="F259" s="2" t="s">
        <v>29</v>
      </c>
      <c r="G259" s="2" t="s">
        <v>254</v>
      </c>
      <c r="H259" s="2" t="s">
        <v>31</v>
      </c>
    </row>
    <row r="260" spans="1:9" x14ac:dyDescent="0.2">
      <c r="A260" s="2" t="s">
        <v>750</v>
      </c>
      <c r="B260" s="2" t="s">
        <v>39</v>
      </c>
      <c r="C260" s="2" t="s">
        <v>751</v>
      </c>
      <c r="D260" s="2" t="s">
        <v>752</v>
      </c>
      <c r="E260" s="2">
        <v>1925.87</v>
      </c>
      <c r="F260" s="2" t="s">
        <v>37</v>
      </c>
      <c r="G260" s="2" t="s">
        <v>210</v>
      </c>
      <c r="H260" s="2" t="s">
        <v>124</v>
      </c>
    </row>
    <row r="261" spans="1:9" x14ac:dyDescent="0.2">
      <c r="A261" s="2" t="s">
        <v>753</v>
      </c>
      <c r="B261" s="2" t="s">
        <v>74</v>
      </c>
      <c r="C261" s="4">
        <v>45812</v>
      </c>
      <c r="D261" s="2" t="s">
        <v>754</v>
      </c>
      <c r="E261" s="2" t="s">
        <v>755</v>
      </c>
      <c r="F261" s="2" t="s">
        <v>14</v>
      </c>
      <c r="G261" s="2" t="s">
        <v>23</v>
      </c>
      <c r="H261" s="2" t="s">
        <v>16</v>
      </c>
    </row>
    <row r="262" spans="1:9" x14ac:dyDescent="0.2">
      <c r="A262" s="2" t="s">
        <v>756</v>
      </c>
      <c r="B262" s="2" t="s">
        <v>137</v>
      </c>
      <c r="C262" s="4">
        <v>45813</v>
      </c>
      <c r="D262" s="4">
        <v>45858</v>
      </c>
      <c r="E262" s="2">
        <v>46347.14</v>
      </c>
      <c r="F262" s="2" t="s">
        <v>22</v>
      </c>
      <c r="G262" s="2" t="s">
        <v>114</v>
      </c>
      <c r="H262" s="2" t="s">
        <v>31</v>
      </c>
      <c r="I262" s="2" t="s">
        <v>58</v>
      </c>
    </row>
    <row r="263" spans="1:9" x14ac:dyDescent="0.2">
      <c r="A263" s="2" t="s">
        <v>757</v>
      </c>
      <c r="B263" s="2" t="s">
        <v>33</v>
      </c>
      <c r="C263" s="2" t="s">
        <v>758</v>
      </c>
      <c r="D263" s="4">
        <v>45858</v>
      </c>
      <c r="E263" s="2" t="s">
        <v>759</v>
      </c>
      <c r="F263" s="2" t="s">
        <v>37</v>
      </c>
      <c r="G263" s="2" t="s">
        <v>63</v>
      </c>
      <c r="H263" s="2" t="s">
        <v>105</v>
      </c>
      <c r="I263" s="2" t="s">
        <v>64</v>
      </c>
    </row>
    <row r="264" spans="1:9" x14ac:dyDescent="0.2">
      <c r="A264" s="2" t="s">
        <v>760</v>
      </c>
      <c r="B264" s="2" t="s">
        <v>107</v>
      </c>
      <c r="C264" s="2" t="s">
        <v>761</v>
      </c>
      <c r="D264" s="4">
        <v>45858</v>
      </c>
      <c r="E264" s="2" t="s">
        <v>762</v>
      </c>
      <c r="F264" s="2" t="s">
        <v>37</v>
      </c>
      <c r="G264" s="2" t="s">
        <v>114</v>
      </c>
      <c r="H264" s="2" t="s">
        <v>31</v>
      </c>
      <c r="I264" s="2" t="s">
        <v>58</v>
      </c>
    </row>
    <row r="265" spans="1:9" x14ac:dyDescent="0.2">
      <c r="A265" s="2" t="s">
        <v>763</v>
      </c>
      <c r="B265" s="2" t="s">
        <v>84</v>
      </c>
      <c r="C265" s="4">
        <v>45813</v>
      </c>
      <c r="D265" s="4">
        <v>45858</v>
      </c>
      <c r="E265" s="2" t="s">
        <v>764</v>
      </c>
      <c r="F265" s="2" t="s">
        <v>37</v>
      </c>
      <c r="G265" s="2" t="s">
        <v>114</v>
      </c>
      <c r="H265" s="2" t="s">
        <v>31</v>
      </c>
      <c r="I265" s="2" t="s">
        <v>64</v>
      </c>
    </row>
    <row r="266" spans="1:9" x14ac:dyDescent="0.2">
      <c r="A266" s="2" t="s">
        <v>765</v>
      </c>
      <c r="B266" s="2" t="s">
        <v>141</v>
      </c>
      <c r="C266" s="2" t="s">
        <v>766</v>
      </c>
      <c r="D266" s="2" t="s">
        <v>767</v>
      </c>
      <c r="E266" s="2">
        <v>46370.12</v>
      </c>
      <c r="F266" s="2" t="s">
        <v>37</v>
      </c>
      <c r="G266" s="2" t="s">
        <v>23</v>
      </c>
      <c r="H266" s="2" t="s">
        <v>16</v>
      </c>
    </row>
    <row r="267" spans="1:9" x14ac:dyDescent="0.2">
      <c r="A267" s="2" t="s">
        <v>768</v>
      </c>
      <c r="B267" s="2" t="s">
        <v>116</v>
      </c>
      <c r="C267" s="4">
        <v>45815</v>
      </c>
      <c r="D267" s="2" t="s">
        <v>769</v>
      </c>
      <c r="E267" s="2">
        <v>28651.32</v>
      </c>
      <c r="F267" s="2" t="s">
        <v>29</v>
      </c>
      <c r="G267" s="2" t="s">
        <v>63</v>
      </c>
      <c r="H267" s="2" t="s">
        <v>16</v>
      </c>
    </row>
    <row r="268" spans="1:9" x14ac:dyDescent="0.2">
      <c r="A268" s="2" t="s">
        <v>770</v>
      </c>
      <c r="B268" s="2" t="s">
        <v>137</v>
      </c>
      <c r="C268" s="2" t="s">
        <v>771</v>
      </c>
      <c r="D268" s="2" t="s">
        <v>769</v>
      </c>
      <c r="E268" s="2">
        <v>12900.8</v>
      </c>
      <c r="F268" s="2" t="s">
        <v>37</v>
      </c>
      <c r="G268" s="2" t="s">
        <v>114</v>
      </c>
      <c r="H268" s="2" t="s">
        <v>16</v>
      </c>
    </row>
    <row r="269" spans="1:9" x14ac:dyDescent="0.2">
      <c r="A269" s="2" t="s">
        <v>772</v>
      </c>
      <c r="B269" s="2" t="s">
        <v>267</v>
      </c>
      <c r="C269" s="2" t="s">
        <v>773</v>
      </c>
      <c r="D269" s="4">
        <v>45846</v>
      </c>
      <c r="E269" s="2">
        <v>3488.39</v>
      </c>
      <c r="F269" s="2" t="s">
        <v>37</v>
      </c>
      <c r="G269" s="2" t="s">
        <v>94</v>
      </c>
      <c r="H269" s="2" t="s">
        <v>124</v>
      </c>
      <c r="I269" s="2" t="s">
        <v>24</v>
      </c>
    </row>
    <row r="270" spans="1:9" x14ac:dyDescent="0.2">
      <c r="A270" s="2" t="s">
        <v>774</v>
      </c>
      <c r="B270" s="2" t="s">
        <v>60</v>
      </c>
      <c r="C270" s="2" t="s">
        <v>773</v>
      </c>
      <c r="D270" s="2" t="s">
        <v>775</v>
      </c>
      <c r="E270" s="2" t="s">
        <v>776</v>
      </c>
      <c r="F270" s="2" t="s">
        <v>37</v>
      </c>
      <c r="G270" s="2" t="s">
        <v>63</v>
      </c>
      <c r="H270" s="2" t="s">
        <v>16</v>
      </c>
      <c r="I270" s="2" t="s">
        <v>24</v>
      </c>
    </row>
    <row r="271" spans="1:9" x14ac:dyDescent="0.2">
      <c r="A271" s="2" t="s">
        <v>777</v>
      </c>
      <c r="B271" s="2" t="s">
        <v>39</v>
      </c>
      <c r="C271" s="2" t="s">
        <v>778</v>
      </c>
      <c r="D271" s="2" t="s">
        <v>142</v>
      </c>
      <c r="E271" s="2" t="s">
        <v>779</v>
      </c>
      <c r="F271" s="2" t="s">
        <v>29</v>
      </c>
      <c r="G271" s="2" t="s">
        <v>169</v>
      </c>
      <c r="H271" s="2" t="s">
        <v>105</v>
      </c>
      <c r="I271" s="2" t="s">
        <v>17</v>
      </c>
    </row>
    <row r="272" spans="1:9" x14ac:dyDescent="0.2">
      <c r="A272" s="2" t="s">
        <v>780</v>
      </c>
      <c r="B272" s="2" t="s">
        <v>781</v>
      </c>
      <c r="C272" s="4">
        <v>45817</v>
      </c>
      <c r="D272" s="2" t="s">
        <v>782</v>
      </c>
      <c r="E272" s="2" t="s">
        <v>783</v>
      </c>
      <c r="F272" s="2" t="s">
        <v>37</v>
      </c>
      <c r="G272" s="2" t="s">
        <v>15</v>
      </c>
      <c r="H272" s="2" t="s">
        <v>31</v>
      </c>
      <c r="I272" s="2" t="s">
        <v>24</v>
      </c>
    </row>
    <row r="273" spans="1:9" x14ac:dyDescent="0.2">
      <c r="A273" s="2" t="s">
        <v>784</v>
      </c>
      <c r="B273" s="2" t="s">
        <v>43</v>
      </c>
      <c r="C273" s="2" t="s">
        <v>785</v>
      </c>
      <c r="D273" s="4">
        <v>45847</v>
      </c>
      <c r="E273" s="2" t="s">
        <v>786</v>
      </c>
      <c r="F273" s="2" t="s">
        <v>29</v>
      </c>
      <c r="G273" s="2" t="s">
        <v>57</v>
      </c>
      <c r="H273" s="2" t="s">
        <v>105</v>
      </c>
    </row>
    <row r="274" spans="1:9" x14ac:dyDescent="0.2">
      <c r="A274" s="2" t="s">
        <v>190</v>
      </c>
      <c r="B274" s="2" t="s">
        <v>60</v>
      </c>
      <c r="C274" s="2" t="s">
        <v>191</v>
      </c>
      <c r="D274" s="2" t="s">
        <v>192</v>
      </c>
      <c r="E274" s="2" t="s">
        <v>193</v>
      </c>
      <c r="F274" s="2" t="s">
        <v>14</v>
      </c>
      <c r="G274" s="2" t="s">
        <v>63</v>
      </c>
      <c r="H274" s="2" t="s">
        <v>68</v>
      </c>
    </row>
    <row r="275" spans="1:9" x14ac:dyDescent="0.2">
      <c r="A275" s="2" t="s">
        <v>787</v>
      </c>
      <c r="B275" s="2" t="s">
        <v>107</v>
      </c>
      <c r="C275" s="4">
        <v>45817</v>
      </c>
      <c r="D275" s="2" t="s">
        <v>788</v>
      </c>
      <c r="E275" s="2" t="s">
        <v>789</v>
      </c>
      <c r="F275" s="2" t="s">
        <v>14</v>
      </c>
      <c r="G275" s="2" t="s">
        <v>23</v>
      </c>
      <c r="H275" s="2" t="s">
        <v>31</v>
      </c>
    </row>
    <row r="276" spans="1:9" x14ac:dyDescent="0.2">
      <c r="A276" s="2" t="s">
        <v>790</v>
      </c>
      <c r="B276" s="2" t="s">
        <v>84</v>
      </c>
      <c r="C276" s="4">
        <v>45817</v>
      </c>
      <c r="D276" s="2" t="s">
        <v>791</v>
      </c>
      <c r="E276" s="2" t="s">
        <v>792</v>
      </c>
      <c r="F276" s="2" t="s">
        <v>37</v>
      </c>
      <c r="G276" s="2" t="s">
        <v>114</v>
      </c>
      <c r="H276" s="2" t="s">
        <v>41</v>
      </c>
    </row>
    <row r="277" spans="1:9" x14ac:dyDescent="0.2">
      <c r="A277" s="2" t="s">
        <v>793</v>
      </c>
      <c r="B277" s="2" t="s">
        <v>137</v>
      </c>
      <c r="C277" s="4">
        <v>45817</v>
      </c>
      <c r="D277" s="2" t="s">
        <v>794</v>
      </c>
      <c r="E277" s="2" t="s">
        <v>795</v>
      </c>
      <c r="F277" s="2" t="s">
        <v>37</v>
      </c>
      <c r="G277" s="2" t="s">
        <v>23</v>
      </c>
      <c r="H277" s="2" t="s">
        <v>105</v>
      </c>
    </row>
    <row r="278" spans="1:9" x14ac:dyDescent="0.2">
      <c r="A278" s="2" t="s">
        <v>796</v>
      </c>
      <c r="B278" s="2" t="s">
        <v>33</v>
      </c>
      <c r="C278" s="2" t="s">
        <v>797</v>
      </c>
      <c r="D278" s="2" t="s">
        <v>798</v>
      </c>
      <c r="E278" s="2" t="s">
        <v>799</v>
      </c>
      <c r="F278" s="2" t="s">
        <v>37</v>
      </c>
      <c r="G278" s="2" t="s">
        <v>23</v>
      </c>
      <c r="H278" s="2" t="s">
        <v>31</v>
      </c>
      <c r="I278" s="2" t="s">
        <v>24</v>
      </c>
    </row>
    <row r="279" spans="1:9" x14ac:dyDescent="0.2">
      <c r="A279" s="2" t="s">
        <v>800</v>
      </c>
      <c r="B279" s="2" t="s">
        <v>60</v>
      </c>
      <c r="C279" s="2" t="s">
        <v>801</v>
      </c>
      <c r="D279" s="2" t="s">
        <v>802</v>
      </c>
      <c r="E279" s="2" t="s">
        <v>803</v>
      </c>
      <c r="F279" s="2" t="s">
        <v>14</v>
      </c>
      <c r="G279" s="2" t="s">
        <v>63</v>
      </c>
      <c r="H279" s="2" t="s">
        <v>31</v>
      </c>
    </row>
    <row r="280" spans="1:9" x14ac:dyDescent="0.2">
      <c r="A280" s="2" t="s">
        <v>804</v>
      </c>
      <c r="B280" s="2" t="s">
        <v>132</v>
      </c>
      <c r="C280" s="4">
        <v>45822</v>
      </c>
      <c r="D280" s="2" t="s">
        <v>805</v>
      </c>
      <c r="E280" s="2" t="s">
        <v>806</v>
      </c>
      <c r="F280" s="2" t="s">
        <v>37</v>
      </c>
      <c r="G280" s="2" t="s">
        <v>94</v>
      </c>
      <c r="H280" s="2" t="s">
        <v>31</v>
      </c>
    </row>
    <row r="281" spans="1:9" x14ac:dyDescent="0.2">
      <c r="A281" s="2" t="s">
        <v>807</v>
      </c>
      <c r="B281" s="2" t="s">
        <v>107</v>
      </c>
      <c r="C281" s="2" t="s">
        <v>808</v>
      </c>
      <c r="D281" s="2" t="s">
        <v>809</v>
      </c>
      <c r="E281" s="2" t="s">
        <v>810</v>
      </c>
      <c r="F281" s="2" t="s">
        <v>37</v>
      </c>
      <c r="G281" s="2" t="s">
        <v>114</v>
      </c>
      <c r="H281" s="2" t="s">
        <v>31</v>
      </c>
      <c r="I281" s="2" t="s">
        <v>64</v>
      </c>
    </row>
    <row r="282" spans="1:9" x14ac:dyDescent="0.2">
      <c r="A282" s="2" t="s">
        <v>811</v>
      </c>
      <c r="B282" s="2" t="s">
        <v>157</v>
      </c>
      <c r="C282" s="2" t="s">
        <v>808</v>
      </c>
      <c r="D282" s="4">
        <v>45868</v>
      </c>
      <c r="E282" s="2" t="s">
        <v>812</v>
      </c>
      <c r="F282" s="2" t="s">
        <v>37</v>
      </c>
      <c r="H282" s="2" t="s">
        <v>31</v>
      </c>
    </row>
    <row r="283" spans="1:9" x14ac:dyDescent="0.2">
      <c r="A283" s="2" t="s">
        <v>813</v>
      </c>
      <c r="B283" s="2" t="s">
        <v>74</v>
      </c>
      <c r="C283" s="2" t="s">
        <v>814</v>
      </c>
      <c r="D283" s="4">
        <v>45869</v>
      </c>
      <c r="E283" s="2" t="s">
        <v>815</v>
      </c>
      <c r="F283" s="2" t="s">
        <v>37</v>
      </c>
      <c r="G283" s="2" t="s">
        <v>23</v>
      </c>
      <c r="H283" s="2" t="s">
        <v>68</v>
      </c>
    </row>
    <row r="284" spans="1:9" x14ac:dyDescent="0.2">
      <c r="A284" s="2" t="s">
        <v>816</v>
      </c>
      <c r="B284" s="2" t="s">
        <v>118</v>
      </c>
      <c r="C284" s="4">
        <v>45824</v>
      </c>
      <c r="D284" s="4">
        <v>45854</v>
      </c>
      <c r="E284" s="2">
        <v>6659.78</v>
      </c>
      <c r="F284" s="2" t="s">
        <v>22</v>
      </c>
      <c r="G284" s="2" t="s">
        <v>299</v>
      </c>
      <c r="H284" s="2" t="s">
        <v>82</v>
      </c>
      <c r="I284" s="2" t="s">
        <v>24</v>
      </c>
    </row>
    <row r="285" spans="1:9" x14ac:dyDescent="0.2">
      <c r="A285" s="2" t="s">
        <v>817</v>
      </c>
      <c r="B285" s="2" t="s">
        <v>33</v>
      </c>
      <c r="C285" s="4">
        <v>45824</v>
      </c>
      <c r="D285" s="2" t="s">
        <v>818</v>
      </c>
      <c r="E285" s="2" t="s">
        <v>819</v>
      </c>
      <c r="F285" s="2" t="s">
        <v>37</v>
      </c>
      <c r="H285" s="2" t="s">
        <v>31</v>
      </c>
    </row>
    <row r="286" spans="1:9" x14ac:dyDescent="0.2">
      <c r="A286" s="2" t="s">
        <v>820</v>
      </c>
      <c r="B286" s="2" t="s">
        <v>195</v>
      </c>
      <c r="C286" s="2" t="s">
        <v>611</v>
      </c>
      <c r="D286" s="2" t="s">
        <v>821</v>
      </c>
      <c r="E286" s="2">
        <v>9931.7199999999993</v>
      </c>
      <c r="F286" s="2" t="s">
        <v>37</v>
      </c>
      <c r="G286" s="2" t="s">
        <v>822</v>
      </c>
      <c r="H286" s="2" t="s">
        <v>41</v>
      </c>
      <c r="I286" s="2" t="s">
        <v>17</v>
      </c>
    </row>
    <row r="287" spans="1:9" x14ac:dyDescent="0.2">
      <c r="A287" s="2" t="s">
        <v>823</v>
      </c>
      <c r="B287" s="2" t="s">
        <v>60</v>
      </c>
      <c r="C287" s="4">
        <v>45827</v>
      </c>
      <c r="D287" s="2" t="s">
        <v>824</v>
      </c>
      <c r="E287" s="2" t="s">
        <v>825</v>
      </c>
      <c r="F287" s="2" t="s">
        <v>22</v>
      </c>
      <c r="G287" s="2" t="s">
        <v>67</v>
      </c>
      <c r="H287" s="2" t="s">
        <v>105</v>
      </c>
      <c r="I287" s="2" t="s">
        <v>64</v>
      </c>
    </row>
    <row r="288" spans="1:9" x14ac:dyDescent="0.2">
      <c r="A288" s="2" t="s">
        <v>826</v>
      </c>
      <c r="B288" s="2" t="s">
        <v>60</v>
      </c>
      <c r="C288" s="4">
        <v>45827</v>
      </c>
      <c r="D288" s="4">
        <v>45872</v>
      </c>
      <c r="E288" s="2">
        <v>12461.59</v>
      </c>
      <c r="G288" s="2" t="s">
        <v>67</v>
      </c>
      <c r="H288" s="2" t="s">
        <v>31</v>
      </c>
    </row>
    <row r="289" spans="1:9" x14ac:dyDescent="0.2">
      <c r="A289" s="2" t="s">
        <v>827</v>
      </c>
      <c r="B289" s="2" t="s">
        <v>137</v>
      </c>
      <c r="C289" s="2" t="s">
        <v>828</v>
      </c>
      <c r="D289" s="4">
        <v>45872</v>
      </c>
      <c r="E289" s="2" t="s">
        <v>829</v>
      </c>
      <c r="F289" s="2" t="s">
        <v>37</v>
      </c>
      <c r="G289" s="2" t="s">
        <v>23</v>
      </c>
      <c r="H289" s="2" t="s">
        <v>31</v>
      </c>
      <c r="I289" s="2" t="s">
        <v>64</v>
      </c>
    </row>
    <row r="290" spans="1:9" x14ac:dyDescent="0.2">
      <c r="A290" s="2" t="s">
        <v>830</v>
      </c>
      <c r="B290" s="2" t="s">
        <v>33</v>
      </c>
      <c r="C290" s="4">
        <v>45829</v>
      </c>
      <c r="D290" s="4">
        <v>45874</v>
      </c>
      <c r="E290" s="2">
        <v>43216.05</v>
      </c>
      <c r="F290" s="2" t="s">
        <v>37</v>
      </c>
      <c r="G290" s="2" t="s">
        <v>23</v>
      </c>
      <c r="H290" s="2" t="s">
        <v>68</v>
      </c>
      <c r="I290" s="2" t="s">
        <v>17</v>
      </c>
    </row>
    <row r="291" spans="1:9" x14ac:dyDescent="0.2">
      <c r="A291" s="2" t="s">
        <v>831</v>
      </c>
      <c r="B291" s="2" t="s">
        <v>107</v>
      </c>
      <c r="C291" s="4">
        <v>45829</v>
      </c>
      <c r="D291" s="4">
        <v>45874</v>
      </c>
      <c r="E291" s="2" t="s">
        <v>832</v>
      </c>
      <c r="F291" s="2" t="s">
        <v>37</v>
      </c>
      <c r="G291" s="2" t="s">
        <v>23</v>
      </c>
      <c r="H291" s="2" t="s">
        <v>16</v>
      </c>
      <c r="I291" s="2" t="s">
        <v>24</v>
      </c>
    </row>
    <row r="292" spans="1:9" x14ac:dyDescent="0.2">
      <c r="A292" s="2" t="s">
        <v>833</v>
      </c>
      <c r="B292" s="2" t="s">
        <v>74</v>
      </c>
      <c r="C292" s="2" t="s">
        <v>834</v>
      </c>
      <c r="D292" s="4">
        <v>45876</v>
      </c>
      <c r="E292" s="2" t="s">
        <v>835</v>
      </c>
      <c r="F292" s="2" t="s">
        <v>37</v>
      </c>
      <c r="G292" s="2" t="s">
        <v>114</v>
      </c>
      <c r="H292" s="2" t="s">
        <v>31</v>
      </c>
      <c r="I292" s="2" t="s">
        <v>17</v>
      </c>
    </row>
    <row r="293" spans="1:9" x14ac:dyDescent="0.2">
      <c r="A293" s="2" t="s">
        <v>836</v>
      </c>
      <c r="B293" s="2" t="s">
        <v>74</v>
      </c>
      <c r="C293" s="2" t="s">
        <v>837</v>
      </c>
      <c r="D293" s="4">
        <v>45876</v>
      </c>
      <c r="E293" s="2" t="s">
        <v>838</v>
      </c>
      <c r="F293" s="2" t="s">
        <v>14</v>
      </c>
      <c r="G293" s="2" t="s">
        <v>67</v>
      </c>
      <c r="H293" s="2" t="s">
        <v>31</v>
      </c>
      <c r="I293" s="2" t="s">
        <v>17</v>
      </c>
    </row>
    <row r="294" spans="1:9" x14ac:dyDescent="0.2">
      <c r="A294" s="2" t="s">
        <v>839</v>
      </c>
      <c r="B294" s="2" t="s">
        <v>79</v>
      </c>
      <c r="C294" s="4">
        <v>45832</v>
      </c>
      <c r="D294" s="2" t="s">
        <v>840</v>
      </c>
      <c r="E294" s="2">
        <v>34593</v>
      </c>
      <c r="F294" s="2" t="s">
        <v>37</v>
      </c>
      <c r="G294" s="2" t="s">
        <v>23</v>
      </c>
      <c r="H294" s="2" t="s">
        <v>16</v>
      </c>
      <c r="I294" s="2" t="s">
        <v>64</v>
      </c>
    </row>
    <row r="295" spans="1:9" x14ac:dyDescent="0.2">
      <c r="A295" s="2" t="s">
        <v>841</v>
      </c>
      <c r="B295" s="2" t="s">
        <v>60</v>
      </c>
      <c r="C295" s="2" t="s">
        <v>782</v>
      </c>
      <c r="D295" s="4">
        <v>45877</v>
      </c>
      <c r="E295" s="2">
        <v>30432</v>
      </c>
      <c r="F295" s="2" t="s">
        <v>29</v>
      </c>
      <c r="G295" s="2" t="s">
        <v>114</v>
      </c>
      <c r="H295" s="2" t="s">
        <v>31</v>
      </c>
      <c r="I295" s="2" t="s">
        <v>17</v>
      </c>
    </row>
    <row r="296" spans="1:9" x14ac:dyDescent="0.2">
      <c r="A296" s="2" t="s">
        <v>842</v>
      </c>
      <c r="B296" s="2" t="s">
        <v>116</v>
      </c>
      <c r="C296" s="4">
        <v>45832</v>
      </c>
      <c r="D296" s="4">
        <v>45877</v>
      </c>
      <c r="E296" s="2">
        <v>-434.16</v>
      </c>
      <c r="F296" s="2" t="s">
        <v>77</v>
      </c>
      <c r="G296" s="2" t="s">
        <v>23</v>
      </c>
      <c r="H296" s="2" t="s">
        <v>105</v>
      </c>
      <c r="I296" s="2" t="s">
        <v>24</v>
      </c>
    </row>
    <row r="297" spans="1:9" x14ac:dyDescent="0.2">
      <c r="A297" s="2" t="s">
        <v>843</v>
      </c>
      <c r="B297" s="2" t="s">
        <v>157</v>
      </c>
      <c r="C297" s="4">
        <v>45834</v>
      </c>
      <c r="D297" s="2" t="s">
        <v>844</v>
      </c>
      <c r="E297" s="2" t="s">
        <v>845</v>
      </c>
      <c r="F297" s="2" t="s">
        <v>29</v>
      </c>
      <c r="G297" s="2" t="s">
        <v>67</v>
      </c>
      <c r="H297" s="2" t="s">
        <v>68</v>
      </c>
      <c r="I297" s="2" t="s">
        <v>17</v>
      </c>
    </row>
    <row r="298" spans="1:9" x14ac:dyDescent="0.2">
      <c r="A298" s="2" t="s">
        <v>846</v>
      </c>
      <c r="B298" s="2" t="s">
        <v>157</v>
      </c>
      <c r="C298" s="4">
        <v>45835</v>
      </c>
      <c r="D298" s="4">
        <v>45880</v>
      </c>
      <c r="E298" s="2">
        <v>4992.7700000000004</v>
      </c>
      <c r="F298" s="2" t="s">
        <v>37</v>
      </c>
      <c r="G298" s="2" t="s">
        <v>67</v>
      </c>
      <c r="H298" s="2" t="s">
        <v>31</v>
      </c>
    </row>
    <row r="299" spans="1:9" x14ac:dyDescent="0.2">
      <c r="B299" s="2" t="s">
        <v>847</v>
      </c>
      <c r="E299" s="2" t="s">
        <v>848</v>
      </c>
    </row>
    <row r="301" spans="1:9" x14ac:dyDescent="0.2">
      <c r="A301" s="2" t="s">
        <v>849</v>
      </c>
      <c r="B301" s="2" t="s">
        <v>107</v>
      </c>
      <c r="C301" s="4">
        <v>45835</v>
      </c>
      <c r="D301" s="2" t="s">
        <v>850</v>
      </c>
      <c r="E301" s="2" t="s">
        <v>851</v>
      </c>
      <c r="F301" s="2" t="s">
        <v>37</v>
      </c>
      <c r="G301" s="2" t="s">
        <v>67</v>
      </c>
      <c r="H301" s="2" t="s">
        <v>105</v>
      </c>
      <c r="I301" s="2" t="s">
        <v>24</v>
      </c>
    </row>
    <row r="302" spans="1:9" x14ac:dyDescent="0.2">
      <c r="A302" s="2" t="s">
        <v>852</v>
      </c>
      <c r="B302" s="2" t="s">
        <v>157</v>
      </c>
      <c r="C302" s="2" t="s">
        <v>853</v>
      </c>
      <c r="D302" s="4">
        <v>45880</v>
      </c>
      <c r="E302" s="2" t="s">
        <v>854</v>
      </c>
      <c r="F302" s="2" t="s">
        <v>37</v>
      </c>
      <c r="G302" s="2" t="s">
        <v>63</v>
      </c>
      <c r="H302" s="2" t="s">
        <v>105</v>
      </c>
      <c r="I302" s="2" t="s">
        <v>24</v>
      </c>
    </row>
    <row r="303" spans="1:9" x14ac:dyDescent="0.2">
      <c r="A303" s="2" t="s">
        <v>855</v>
      </c>
      <c r="B303" s="2" t="s">
        <v>137</v>
      </c>
      <c r="C303" s="2" t="s">
        <v>856</v>
      </c>
      <c r="D303" s="4">
        <v>45881</v>
      </c>
      <c r="E303" s="2">
        <v>45169.69</v>
      </c>
      <c r="F303" s="2" t="s">
        <v>29</v>
      </c>
      <c r="G303" s="2" t="s">
        <v>67</v>
      </c>
      <c r="H303" s="2" t="s">
        <v>16</v>
      </c>
    </row>
    <row r="304" spans="1:9" x14ac:dyDescent="0.2">
      <c r="A304" s="2" t="s">
        <v>857</v>
      </c>
      <c r="B304" s="2" t="s">
        <v>48</v>
      </c>
      <c r="C304" s="4">
        <v>45836</v>
      </c>
      <c r="D304" s="2" t="s">
        <v>802</v>
      </c>
      <c r="E304" s="2" t="s">
        <v>858</v>
      </c>
      <c r="F304" s="2" t="s">
        <v>37</v>
      </c>
      <c r="G304" s="2" t="s">
        <v>46</v>
      </c>
      <c r="H304" s="2" t="s">
        <v>41</v>
      </c>
    </row>
    <row r="305" spans="1:9" x14ac:dyDescent="0.2">
      <c r="A305" s="2" t="s">
        <v>859</v>
      </c>
      <c r="B305" s="2" t="s">
        <v>39</v>
      </c>
      <c r="C305" s="2" t="s">
        <v>860</v>
      </c>
      <c r="D305" s="2" t="s">
        <v>861</v>
      </c>
      <c r="E305" s="2" t="s">
        <v>862</v>
      </c>
      <c r="G305" s="2" t="s">
        <v>210</v>
      </c>
      <c r="H305" s="2" t="s">
        <v>31</v>
      </c>
    </row>
    <row r="306" spans="1:9" x14ac:dyDescent="0.2">
      <c r="A306" s="2" t="s">
        <v>863</v>
      </c>
      <c r="B306" s="2" t="s">
        <v>157</v>
      </c>
      <c r="C306" s="4">
        <v>45838</v>
      </c>
      <c r="D306" s="2" t="s">
        <v>864</v>
      </c>
      <c r="E306" s="2">
        <v>47448.34</v>
      </c>
      <c r="F306" s="2" t="s">
        <v>37</v>
      </c>
      <c r="G306" s="2" t="s">
        <v>114</v>
      </c>
      <c r="H306" s="2" t="s">
        <v>31</v>
      </c>
      <c r="I306" s="2" t="s">
        <v>17</v>
      </c>
    </row>
    <row r="307" spans="1:9" x14ac:dyDescent="0.2">
      <c r="A307" s="2" t="s">
        <v>689</v>
      </c>
      <c r="B307" s="2" t="s">
        <v>19</v>
      </c>
      <c r="C307" s="2" t="s">
        <v>690</v>
      </c>
      <c r="D307" s="4">
        <v>45843</v>
      </c>
      <c r="E307" s="2">
        <v>43822.74</v>
      </c>
      <c r="F307" s="2" t="s">
        <v>37</v>
      </c>
      <c r="G307" s="2" t="s">
        <v>63</v>
      </c>
      <c r="H307" s="2" t="s">
        <v>31</v>
      </c>
    </row>
    <row r="308" spans="1:9" x14ac:dyDescent="0.2">
      <c r="A308" s="2" t="s">
        <v>865</v>
      </c>
      <c r="B308" s="2" t="s">
        <v>866</v>
      </c>
      <c r="C308" s="2" t="s">
        <v>669</v>
      </c>
      <c r="D308" s="4">
        <v>45869</v>
      </c>
      <c r="E308" s="2" t="s">
        <v>867</v>
      </c>
      <c r="F308" s="2" t="s">
        <v>29</v>
      </c>
      <c r="G308" s="2" t="s">
        <v>822</v>
      </c>
      <c r="H308" s="2" t="s">
        <v>105</v>
      </c>
    </row>
    <row r="309" spans="1:9" x14ac:dyDescent="0.2">
      <c r="A309" s="2" t="s">
        <v>868</v>
      </c>
      <c r="B309" s="2" t="s">
        <v>79</v>
      </c>
      <c r="C309" s="4">
        <v>45839</v>
      </c>
      <c r="D309" s="2" t="s">
        <v>869</v>
      </c>
      <c r="E309" s="2" t="s">
        <v>870</v>
      </c>
      <c r="F309" s="2" t="s">
        <v>37</v>
      </c>
      <c r="G309" s="2" t="s">
        <v>67</v>
      </c>
      <c r="H309" s="2" t="s">
        <v>105</v>
      </c>
      <c r="I309" s="2" t="s">
        <v>17</v>
      </c>
    </row>
    <row r="310" spans="1:9" x14ac:dyDescent="0.2">
      <c r="A310" s="2" t="s">
        <v>871</v>
      </c>
      <c r="B310" s="2" t="s">
        <v>132</v>
      </c>
      <c r="C310" s="2" t="s">
        <v>872</v>
      </c>
      <c r="D310" s="2" t="s">
        <v>873</v>
      </c>
      <c r="E310" s="2" t="s">
        <v>874</v>
      </c>
      <c r="F310" s="2" t="s">
        <v>37</v>
      </c>
      <c r="G310" s="2" t="s">
        <v>94</v>
      </c>
      <c r="H310" s="2" t="s">
        <v>31</v>
      </c>
    </row>
    <row r="311" spans="1:9" x14ac:dyDescent="0.2">
      <c r="A311" s="2" t="s">
        <v>875</v>
      </c>
      <c r="B311" s="2" t="s">
        <v>19</v>
      </c>
      <c r="C311" s="2" t="s">
        <v>876</v>
      </c>
      <c r="D311" s="2" t="s">
        <v>877</v>
      </c>
      <c r="E311" s="2" t="s">
        <v>878</v>
      </c>
      <c r="G311" s="2" t="s">
        <v>114</v>
      </c>
      <c r="H311" s="2" t="s">
        <v>41</v>
      </c>
    </row>
    <row r="312" spans="1:9" x14ac:dyDescent="0.2">
      <c r="A312" s="2" t="s">
        <v>879</v>
      </c>
      <c r="B312" s="2" t="s">
        <v>33</v>
      </c>
      <c r="C312" s="2" t="s">
        <v>876</v>
      </c>
      <c r="D312" s="2" t="s">
        <v>877</v>
      </c>
      <c r="E312" s="2" t="s">
        <v>880</v>
      </c>
      <c r="F312" s="2" t="s">
        <v>37</v>
      </c>
      <c r="G312" s="2" t="s">
        <v>114</v>
      </c>
      <c r="H312" s="2" t="s">
        <v>31</v>
      </c>
    </row>
    <row r="313" spans="1:9" x14ac:dyDescent="0.2">
      <c r="A313" s="2" t="s">
        <v>881</v>
      </c>
      <c r="B313" s="2" t="s">
        <v>90</v>
      </c>
      <c r="C313" s="2" t="s">
        <v>882</v>
      </c>
      <c r="D313" s="4">
        <v>45870</v>
      </c>
      <c r="E313" s="2">
        <v>13687.57</v>
      </c>
      <c r="F313" s="2" t="s">
        <v>37</v>
      </c>
      <c r="G313" s="2" t="s">
        <v>94</v>
      </c>
      <c r="H313" s="2" t="s">
        <v>105</v>
      </c>
    </row>
    <row r="314" spans="1:9" x14ac:dyDescent="0.2">
      <c r="A314" s="2" t="s">
        <v>883</v>
      </c>
      <c r="B314" s="2" t="s">
        <v>157</v>
      </c>
      <c r="C314" s="2" t="s">
        <v>752</v>
      </c>
      <c r="D314" s="2" t="s">
        <v>884</v>
      </c>
      <c r="E314" s="2" t="s">
        <v>885</v>
      </c>
      <c r="F314" s="2" t="s">
        <v>37</v>
      </c>
      <c r="G314" s="2" t="s">
        <v>114</v>
      </c>
      <c r="H314" s="2" t="s">
        <v>31</v>
      </c>
      <c r="I314" s="2" t="s">
        <v>17</v>
      </c>
    </row>
    <row r="315" spans="1:9" x14ac:dyDescent="0.2">
      <c r="A315" s="2" t="s">
        <v>886</v>
      </c>
      <c r="B315" s="2" t="s">
        <v>60</v>
      </c>
      <c r="C315" s="2" t="s">
        <v>887</v>
      </c>
      <c r="D315" s="2" t="s">
        <v>888</v>
      </c>
      <c r="E315" s="2" t="s">
        <v>889</v>
      </c>
      <c r="F315" s="2" t="s">
        <v>37</v>
      </c>
      <c r="G315" s="2" t="s">
        <v>63</v>
      </c>
      <c r="H315" s="2" t="s">
        <v>105</v>
      </c>
      <c r="I315" s="2" t="s">
        <v>24</v>
      </c>
    </row>
    <row r="316" spans="1:9" x14ac:dyDescent="0.2">
      <c r="A316" s="2" t="s">
        <v>890</v>
      </c>
      <c r="B316" s="2" t="s">
        <v>267</v>
      </c>
      <c r="C316" s="2" t="s">
        <v>891</v>
      </c>
      <c r="D316" s="4">
        <v>45873</v>
      </c>
      <c r="E316" s="2" t="s">
        <v>892</v>
      </c>
      <c r="F316" s="2" t="s">
        <v>37</v>
      </c>
      <c r="G316" s="2" t="s">
        <v>94</v>
      </c>
      <c r="H316" s="2" t="s">
        <v>105</v>
      </c>
    </row>
    <row r="317" spans="1:9" x14ac:dyDescent="0.2">
      <c r="A317" s="2" t="s">
        <v>893</v>
      </c>
      <c r="B317" s="2" t="s">
        <v>137</v>
      </c>
      <c r="C317" s="4">
        <v>45843</v>
      </c>
      <c r="D317" s="4">
        <v>45888</v>
      </c>
      <c r="E317" s="2">
        <v>16738.25</v>
      </c>
      <c r="G317" s="2" t="s">
        <v>114</v>
      </c>
      <c r="H317" s="2" t="s">
        <v>41</v>
      </c>
      <c r="I317" s="2" t="s">
        <v>17</v>
      </c>
    </row>
    <row r="318" spans="1:9" x14ac:dyDescent="0.2">
      <c r="A318" s="2" t="s">
        <v>894</v>
      </c>
      <c r="B318" s="2" t="s">
        <v>198</v>
      </c>
      <c r="C318" s="4">
        <v>45843</v>
      </c>
      <c r="D318" s="2" t="s">
        <v>895</v>
      </c>
      <c r="E318" s="2" t="s">
        <v>896</v>
      </c>
      <c r="F318" s="2" t="s">
        <v>419</v>
      </c>
      <c r="G318" s="2" t="s">
        <v>23</v>
      </c>
      <c r="H318" s="2" t="s">
        <v>41</v>
      </c>
      <c r="I318" s="2" t="s">
        <v>24</v>
      </c>
    </row>
    <row r="319" spans="1:9" x14ac:dyDescent="0.2">
      <c r="A319" s="2" t="s">
        <v>897</v>
      </c>
      <c r="B319" s="2" t="s">
        <v>43</v>
      </c>
      <c r="C319" s="2" t="s">
        <v>898</v>
      </c>
      <c r="D319" s="2" t="s">
        <v>899</v>
      </c>
      <c r="E319" s="2" t="s">
        <v>900</v>
      </c>
      <c r="G319" s="2" t="s">
        <v>210</v>
      </c>
      <c r="H319" s="2" t="s">
        <v>41</v>
      </c>
    </row>
    <row r="320" spans="1:9" x14ac:dyDescent="0.2">
      <c r="A320" s="2" t="s">
        <v>901</v>
      </c>
      <c r="B320" s="2" t="s">
        <v>33</v>
      </c>
      <c r="C320" s="2" t="s">
        <v>902</v>
      </c>
      <c r="D320" s="2" t="s">
        <v>903</v>
      </c>
      <c r="E320" s="2" t="s">
        <v>904</v>
      </c>
      <c r="F320" s="2" t="s">
        <v>37</v>
      </c>
      <c r="G320" s="2" t="s">
        <v>114</v>
      </c>
      <c r="H320" s="2" t="s">
        <v>31</v>
      </c>
    </row>
    <row r="321" spans="1:9" x14ac:dyDescent="0.2">
      <c r="A321" s="2" t="s">
        <v>905</v>
      </c>
      <c r="B321" s="2" t="s">
        <v>145</v>
      </c>
      <c r="C321" s="2" t="s">
        <v>906</v>
      </c>
      <c r="D321" s="4">
        <v>45958</v>
      </c>
      <c r="E321" s="2">
        <v>13530.81</v>
      </c>
      <c r="F321" s="2" t="s">
        <v>37</v>
      </c>
      <c r="G321" s="2" t="s">
        <v>23</v>
      </c>
      <c r="H321" s="2" t="s">
        <v>31</v>
      </c>
      <c r="I321" s="2" t="s">
        <v>17</v>
      </c>
    </row>
    <row r="322" spans="1:9" x14ac:dyDescent="0.2">
      <c r="A322" s="2" t="s">
        <v>907</v>
      </c>
      <c r="B322" s="2" t="s">
        <v>19</v>
      </c>
      <c r="C322" s="2" t="s">
        <v>908</v>
      </c>
      <c r="D322" s="2" t="s">
        <v>909</v>
      </c>
      <c r="E322" s="2" t="s">
        <v>910</v>
      </c>
      <c r="F322" s="2" t="s">
        <v>37</v>
      </c>
      <c r="G322" s="2" t="s">
        <v>23</v>
      </c>
      <c r="H322" s="2" t="s">
        <v>16</v>
      </c>
    </row>
    <row r="323" spans="1:9" x14ac:dyDescent="0.2">
      <c r="A323" s="2" t="s">
        <v>911</v>
      </c>
      <c r="B323" s="2" t="s">
        <v>165</v>
      </c>
      <c r="C323" s="2" t="s">
        <v>912</v>
      </c>
      <c r="D323" s="2" t="s">
        <v>913</v>
      </c>
      <c r="E323" s="2" t="s">
        <v>914</v>
      </c>
      <c r="F323" s="2" t="s">
        <v>37</v>
      </c>
      <c r="G323" s="2" t="s">
        <v>169</v>
      </c>
      <c r="H323" s="2" t="s">
        <v>105</v>
      </c>
    </row>
    <row r="324" spans="1:9" x14ac:dyDescent="0.2">
      <c r="A324" s="2" t="s">
        <v>915</v>
      </c>
      <c r="B324" s="2" t="s">
        <v>116</v>
      </c>
      <c r="C324" s="4">
        <v>45851</v>
      </c>
      <c r="D324" s="2" t="s">
        <v>916</v>
      </c>
      <c r="E324" s="2" t="s">
        <v>917</v>
      </c>
      <c r="F324" s="2" t="s">
        <v>37</v>
      </c>
      <c r="G324" s="2" t="s">
        <v>63</v>
      </c>
      <c r="H324" s="2" t="s">
        <v>16</v>
      </c>
      <c r="I324" s="2" t="s">
        <v>58</v>
      </c>
    </row>
    <row r="325" spans="1:9" x14ac:dyDescent="0.2">
      <c r="A325" s="2" t="s">
        <v>918</v>
      </c>
      <c r="B325" s="2" t="s">
        <v>43</v>
      </c>
      <c r="C325" s="4">
        <v>45851</v>
      </c>
      <c r="D325" s="4">
        <v>45881</v>
      </c>
      <c r="E325" s="2">
        <v>3295.5</v>
      </c>
      <c r="F325" s="2" t="s">
        <v>37</v>
      </c>
      <c r="H325" s="2" t="s">
        <v>16</v>
      </c>
      <c r="I325" s="2" t="s">
        <v>17</v>
      </c>
    </row>
    <row r="326" spans="1:9" x14ac:dyDescent="0.2">
      <c r="A326" s="2" t="s">
        <v>919</v>
      </c>
      <c r="B326" s="2" t="s">
        <v>48</v>
      </c>
      <c r="C326" s="2" t="s">
        <v>920</v>
      </c>
      <c r="D326" s="2" t="s">
        <v>921</v>
      </c>
      <c r="E326" s="2" t="s">
        <v>922</v>
      </c>
      <c r="F326" s="2" t="s">
        <v>37</v>
      </c>
      <c r="G326" s="2" t="s">
        <v>46</v>
      </c>
      <c r="H326" s="2" t="s">
        <v>105</v>
      </c>
      <c r="I326" s="2" t="s">
        <v>24</v>
      </c>
    </row>
    <row r="327" spans="1:9" x14ac:dyDescent="0.2">
      <c r="A327" s="2" t="s">
        <v>923</v>
      </c>
      <c r="B327" s="2" t="s">
        <v>26</v>
      </c>
      <c r="C327" s="4">
        <v>45852</v>
      </c>
      <c r="D327" s="4">
        <v>45882</v>
      </c>
      <c r="E327" s="2" t="s">
        <v>924</v>
      </c>
      <c r="F327" s="2" t="s">
        <v>22</v>
      </c>
      <c r="G327" s="2" t="s">
        <v>94</v>
      </c>
      <c r="H327" s="2" t="s">
        <v>105</v>
      </c>
    </row>
    <row r="328" spans="1:9" x14ac:dyDescent="0.2">
      <c r="A328" s="2" t="s">
        <v>925</v>
      </c>
      <c r="B328" s="2" t="s">
        <v>866</v>
      </c>
      <c r="C328" s="4">
        <v>45852</v>
      </c>
      <c r="D328" s="2" t="s">
        <v>926</v>
      </c>
      <c r="E328" s="2" t="s">
        <v>927</v>
      </c>
      <c r="F328" s="2" t="s">
        <v>37</v>
      </c>
      <c r="G328" s="2" t="s">
        <v>822</v>
      </c>
      <c r="H328" s="2" t="s">
        <v>16</v>
      </c>
      <c r="I328" s="2" t="s">
        <v>64</v>
      </c>
    </row>
    <row r="329" spans="1:9" x14ac:dyDescent="0.2">
      <c r="A329" s="2" t="s">
        <v>928</v>
      </c>
      <c r="B329" s="2" t="s">
        <v>137</v>
      </c>
      <c r="C329" s="4">
        <v>45853</v>
      </c>
      <c r="D329" s="4">
        <v>45898</v>
      </c>
      <c r="E329" s="2" t="s">
        <v>929</v>
      </c>
      <c r="G329" s="2" t="s">
        <v>114</v>
      </c>
      <c r="H329" s="2" t="s">
        <v>16</v>
      </c>
      <c r="I329" s="2" t="s">
        <v>58</v>
      </c>
    </row>
    <row r="330" spans="1:9" x14ac:dyDescent="0.2">
      <c r="A330" s="2" t="s">
        <v>930</v>
      </c>
      <c r="B330" s="2" t="s">
        <v>79</v>
      </c>
      <c r="C330" s="2" t="s">
        <v>931</v>
      </c>
      <c r="D330" s="2" t="s">
        <v>932</v>
      </c>
      <c r="E330" s="2" t="s">
        <v>933</v>
      </c>
      <c r="F330" s="2" t="s">
        <v>22</v>
      </c>
      <c r="G330" s="2" t="s">
        <v>114</v>
      </c>
      <c r="H330" s="2" t="s">
        <v>31</v>
      </c>
      <c r="I330" s="2" t="s">
        <v>64</v>
      </c>
    </row>
    <row r="332" spans="1:9" x14ac:dyDescent="0.2">
      <c r="A332" s="2" t="s">
        <v>934</v>
      </c>
      <c r="B332" s="2" t="s">
        <v>157</v>
      </c>
      <c r="C332" s="4">
        <v>45853</v>
      </c>
      <c r="D332" s="2" t="s">
        <v>935</v>
      </c>
      <c r="E332" s="2" t="s">
        <v>936</v>
      </c>
      <c r="F332" s="2" t="s">
        <v>37</v>
      </c>
      <c r="G332" s="2" t="s">
        <v>63</v>
      </c>
      <c r="H332" s="2" t="s">
        <v>16</v>
      </c>
    </row>
    <row r="333" spans="1:9" x14ac:dyDescent="0.2">
      <c r="A333" s="2" t="s">
        <v>937</v>
      </c>
      <c r="B333" s="2" t="s">
        <v>118</v>
      </c>
      <c r="C333" s="2" t="s">
        <v>938</v>
      </c>
      <c r="D333" s="2" t="s">
        <v>939</v>
      </c>
      <c r="E333" s="2" t="s">
        <v>940</v>
      </c>
      <c r="G333" s="2" t="s">
        <v>299</v>
      </c>
      <c r="H333" s="2" t="s">
        <v>82</v>
      </c>
    </row>
    <row r="334" spans="1:9" x14ac:dyDescent="0.2">
      <c r="A334" s="2" t="s">
        <v>941</v>
      </c>
      <c r="B334" s="2" t="s">
        <v>53</v>
      </c>
      <c r="C334" s="2" t="s">
        <v>942</v>
      </c>
      <c r="D334" s="4">
        <v>45886</v>
      </c>
      <c r="E334" s="2" t="s">
        <v>943</v>
      </c>
      <c r="F334" s="2" t="s">
        <v>37</v>
      </c>
      <c r="G334" s="2" t="s">
        <v>46</v>
      </c>
      <c r="H334" s="2" t="s">
        <v>41</v>
      </c>
    </row>
    <row r="335" spans="1:9" x14ac:dyDescent="0.2">
      <c r="A335" s="2" t="s">
        <v>685</v>
      </c>
      <c r="B335" s="2" t="s">
        <v>141</v>
      </c>
      <c r="C335" s="2" t="s">
        <v>352</v>
      </c>
      <c r="D335" s="4">
        <v>45841</v>
      </c>
      <c r="E335" s="2" t="s">
        <v>353</v>
      </c>
      <c r="F335" s="2" t="s">
        <v>37</v>
      </c>
      <c r="G335" s="2" t="s">
        <v>114</v>
      </c>
      <c r="H335" s="2" t="s">
        <v>16</v>
      </c>
      <c r="I335" s="2" t="s">
        <v>64</v>
      </c>
    </row>
    <row r="336" spans="1:9" x14ac:dyDescent="0.2">
      <c r="A336" s="2" t="s">
        <v>944</v>
      </c>
      <c r="B336" s="2" t="s">
        <v>103</v>
      </c>
      <c r="C336" s="4">
        <v>45856</v>
      </c>
      <c r="D336" s="2" t="s">
        <v>945</v>
      </c>
      <c r="E336" s="2" t="s">
        <v>946</v>
      </c>
      <c r="F336" s="2" t="s">
        <v>29</v>
      </c>
      <c r="G336" s="2" t="s">
        <v>67</v>
      </c>
      <c r="H336" s="2" t="s">
        <v>16</v>
      </c>
      <c r="I336" s="2" t="s">
        <v>58</v>
      </c>
    </row>
    <row r="337" spans="1:9" x14ac:dyDescent="0.2">
      <c r="A337" s="2" t="s">
        <v>947</v>
      </c>
      <c r="B337" s="2" t="s">
        <v>90</v>
      </c>
      <c r="C337" s="2" t="s">
        <v>737</v>
      </c>
      <c r="D337" s="4">
        <v>45886</v>
      </c>
      <c r="E337" s="2" t="s">
        <v>948</v>
      </c>
      <c r="F337" s="2" t="s">
        <v>22</v>
      </c>
      <c r="G337" s="2" t="s">
        <v>94</v>
      </c>
      <c r="H337" s="2" t="s">
        <v>31</v>
      </c>
      <c r="I337" s="2" t="s">
        <v>64</v>
      </c>
    </row>
    <row r="338" spans="1:9" x14ac:dyDescent="0.2">
      <c r="A338" s="2" t="s">
        <v>949</v>
      </c>
      <c r="B338" s="2" t="s">
        <v>308</v>
      </c>
      <c r="C338" s="2" t="s">
        <v>942</v>
      </c>
      <c r="D338" s="4">
        <v>45871</v>
      </c>
      <c r="E338" s="2">
        <v>4049.79</v>
      </c>
      <c r="F338" s="2" t="s">
        <v>37</v>
      </c>
      <c r="G338" s="2" t="s">
        <v>312</v>
      </c>
      <c r="H338" s="2" t="s">
        <v>16</v>
      </c>
    </row>
    <row r="339" spans="1:9" x14ac:dyDescent="0.2">
      <c r="A339" s="2" t="s">
        <v>950</v>
      </c>
      <c r="B339" s="2" t="s">
        <v>614</v>
      </c>
      <c r="C339" s="2" t="s">
        <v>951</v>
      </c>
      <c r="D339" s="4">
        <v>45872</v>
      </c>
      <c r="E339" s="2">
        <v>1321.35</v>
      </c>
      <c r="F339" s="2" t="s">
        <v>14</v>
      </c>
      <c r="G339" s="2" t="s">
        <v>97</v>
      </c>
      <c r="H339" s="2" t="s">
        <v>31</v>
      </c>
      <c r="I339" s="2" t="s">
        <v>64</v>
      </c>
    </row>
    <row r="340" spans="1:9" x14ac:dyDescent="0.2">
      <c r="A340" s="2" t="s">
        <v>952</v>
      </c>
      <c r="B340" s="2" t="s">
        <v>53</v>
      </c>
      <c r="C340" s="4">
        <v>45858</v>
      </c>
      <c r="D340" s="2" t="s">
        <v>953</v>
      </c>
      <c r="E340" s="2" t="s">
        <v>954</v>
      </c>
      <c r="F340" s="2" t="s">
        <v>37</v>
      </c>
      <c r="G340" s="2" t="s">
        <v>210</v>
      </c>
      <c r="H340" s="2" t="s">
        <v>16</v>
      </c>
    </row>
    <row r="341" spans="1:9" x14ac:dyDescent="0.2">
      <c r="A341" s="2" t="s">
        <v>955</v>
      </c>
      <c r="B341" s="2" t="s">
        <v>157</v>
      </c>
      <c r="C341" s="2" t="s">
        <v>956</v>
      </c>
      <c r="D341" s="2" t="s">
        <v>957</v>
      </c>
      <c r="E341" s="2" t="s">
        <v>958</v>
      </c>
      <c r="F341" s="2" t="s">
        <v>29</v>
      </c>
      <c r="G341" s="2" t="s">
        <v>63</v>
      </c>
      <c r="H341" s="2" t="s">
        <v>31</v>
      </c>
      <c r="I341" s="2" t="s">
        <v>64</v>
      </c>
    </row>
    <row r="342" spans="1:9" x14ac:dyDescent="0.2">
      <c r="A342" s="2" t="s">
        <v>959</v>
      </c>
      <c r="B342" s="2" t="s">
        <v>116</v>
      </c>
      <c r="C342" s="4">
        <v>45860</v>
      </c>
      <c r="D342" s="4">
        <v>45905</v>
      </c>
      <c r="E342" s="2" t="s">
        <v>960</v>
      </c>
      <c r="F342" s="2" t="s">
        <v>37</v>
      </c>
      <c r="G342" s="2" t="s">
        <v>23</v>
      </c>
      <c r="H342" s="2" t="s">
        <v>105</v>
      </c>
    </row>
    <row r="343" spans="1:9" x14ac:dyDescent="0.2">
      <c r="A343" s="2" t="s">
        <v>961</v>
      </c>
      <c r="B343" s="2" t="s">
        <v>137</v>
      </c>
      <c r="C343" s="2" t="s">
        <v>962</v>
      </c>
      <c r="D343" s="4">
        <v>45906</v>
      </c>
      <c r="E343" s="2" t="s">
        <v>963</v>
      </c>
      <c r="F343" s="2" t="s">
        <v>37</v>
      </c>
      <c r="G343" s="2" t="s">
        <v>67</v>
      </c>
      <c r="H343" s="2" t="s">
        <v>31</v>
      </c>
      <c r="I343" s="2" t="s">
        <v>17</v>
      </c>
    </row>
    <row r="344" spans="1:9" x14ac:dyDescent="0.2">
      <c r="A344" s="2" t="s">
        <v>964</v>
      </c>
      <c r="B344" s="2" t="s">
        <v>107</v>
      </c>
      <c r="C344" s="2" t="s">
        <v>965</v>
      </c>
      <c r="D344" s="4">
        <v>45908</v>
      </c>
      <c r="E344" s="2" t="s">
        <v>966</v>
      </c>
      <c r="F344" s="2" t="s">
        <v>37</v>
      </c>
      <c r="G344" s="2" t="s">
        <v>67</v>
      </c>
      <c r="H344" s="2" t="s">
        <v>16</v>
      </c>
    </row>
    <row r="345" spans="1:9" x14ac:dyDescent="0.2">
      <c r="A345" s="2" t="s">
        <v>967</v>
      </c>
      <c r="B345" s="2" t="s">
        <v>43</v>
      </c>
      <c r="C345" s="4">
        <v>45863</v>
      </c>
      <c r="D345" s="2" t="s">
        <v>968</v>
      </c>
      <c r="E345" s="2">
        <v>7028.36</v>
      </c>
      <c r="F345" s="2" t="s">
        <v>37</v>
      </c>
      <c r="G345" s="2" t="s">
        <v>46</v>
      </c>
      <c r="H345" s="2" t="s">
        <v>105</v>
      </c>
    </row>
    <row r="346" spans="1:9" x14ac:dyDescent="0.2">
      <c r="A346" s="2" t="s">
        <v>969</v>
      </c>
      <c r="B346" s="2" t="s">
        <v>90</v>
      </c>
      <c r="C346" s="4">
        <v>45864</v>
      </c>
      <c r="D346" s="4">
        <v>45894</v>
      </c>
      <c r="E346" s="2" t="s">
        <v>970</v>
      </c>
      <c r="F346" s="2" t="s">
        <v>37</v>
      </c>
      <c r="G346" s="2" t="s">
        <v>30</v>
      </c>
      <c r="H346" s="2" t="s">
        <v>105</v>
      </c>
    </row>
    <row r="347" spans="1:9" x14ac:dyDescent="0.2">
      <c r="A347" s="2" t="s">
        <v>971</v>
      </c>
      <c r="B347" s="2" t="s">
        <v>198</v>
      </c>
      <c r="C347" s="4">
        <v>45864</v>
      </c>
      <c r="D347" s="4">
        <v>45909</v>
      </c>
      <c r="E347" s="2" t="s">
        <v>972</v>
      </c>
      <c r="F347" s="2" t="s">
        <v>37</v>
      </c>
      <c r="G347" s="2" t="s">
        <v>67</v>
      </c>
      <c r="H347" s="2" t="s">
        <v>105</v>
      </c>
    </row>
    <row r="348" spans="1:9" x14ac:dyDescent="0.2">
      <c r="A348" s="2" t="s">
        <v>973</v>
      </c>
      <c r="B348" s="2" t="s">
        <v>137</v>
      </c>
      <c r="C348" s="2" t="s">
        <v>974</v>
      </c>
      <c r="D348" s="4">
        <v>45909</v>
      </c>
      <c r="E348" s="2" t="s">
        <v>975</v>
      </c>
      <c r="G348" s="2" t="s">
        <v>114</v>
      </c>
      <c r="H348" s="2" t="s">
        <v>105</v>
      </c>
    </row>
    <row r="349" spans="1:9" x14ac:dyDescent="0.2">
      <c r="A349" s="2" t="s">
        <v>976</v>
      </c>
      <c r="B349" s="2" t="s">
        <v>74</v>
      </c>
      <c r="C349" s="2" t="s">
        <v>809</v>
      </c>
      <c r="D349" s="2" t="s">
        <v>977</v>
      </c>
      <c r="E349" s="2">
        <v>35004.76</v>
      </c>
      <c r="F349" s="2" t="s">
        <v>29</v>
      </c>
      <c r="G349" s="2" t="s">
        <v>23</v>
      </c>
      <c r="H349" s="2" t="s">
        <v>105</v>
      </c>
      <c r="I349" s="2" t="s">
        <v>58</v>
      </c>
    </row>
    <row r="350" spans="1:9" x14ac:dyDescent="0.2">
      <c r="A350" s="2" t="s">
        <v>978</v>
      </c>
      <c r="B350" s="2" t="s">
        <v>157</v>
      </c>
      <c r="C350" s="2" t="s">
        <v>809</v>
      </c>
      <c r="D350" s="2" t="s">
        <v>979</v>
      </c>
      <c r="E350" s="2">
        <v>47223.9</v>
      </c>
      <c r="F350" s="2" t="s">
        <v>37</v>
      </c>
      <c r="G350" s="2" t="s">
        <v>114</v>
      </c>
      <c r="H350" s="2" t="s">
        <v>16</v>
      </c>
    </row>
    <row r="351" spans="1:9" x14ac:dyDescent="0.2">
      <c r="A351" s="2" t="s">
        <v>980</v>
      </c>
      <c r="B351" s="2" t="s">
        <v>84</v>
      </c>
      <c r="C351" s="2" t="s">
        <v>873</v>
      </c>
      <c r="D351" s="2" t="s">
        <v>981</v>
      </c>
      <c r="E351" s="2" t="s">
        <v>982</v>
      </c>
      <c r="F351" s="2" t="s">
        <v>14</v>
      </c>
      <c r="G351" s="2" t="s">
        <v>114</v>
      </c>
      <c r="H351" s="2" t="s">
        <v>41</v>
      </c>
      <c r="I351" s="2" t="s">
        <v>17</v>
      </c>
    </row>
    <row r="352" spans="1:9" x14ac:dyDescent="0.2">
      <c r="A352" s="2" t="s">
        <v>983</v>
      </c>
      <c r="B352" s="2" t="s">
        <v>165</v>
      </c>
      <c r="C352" s="2" t="s">
        <v>984</v>
      </c>
      <c r="D352" s="2" t="s">
        <v>985</v>
      </c>
      <c r="E352" s="2" t="s">
        <v>986</v>
      </c>
      <c r="F352" s="2" t="s">
        <v>37</v>
      </c>
      <c r="G352" s="2" t="s">
        <v>169</v>
      </c>
      <c r="H352" s="2" t="s">
        <v>105</v>
      </c>
    </row>
    <row r="353" spans="1:9" x14ac:dyDescent="0.2">
      <c r="A353" s="2" t="s">
        <v>987</v>
      </c>
      <c r="B353" s="2" t="s">
        <v>79</v>
      </c>
      <c r="C353" s="4">
        <v>45870</v>
      </c>
      <c r="D353" s="2" t="s">
        <v>988</v>
      </c>
      <c r="E353" s="2" t="s">
        <v>989</v>
      </c>
      <c r="F353" s="2" t="s">
        <v>22</v>
      </c>
      <c r="G353" s="2" t="s">
        <v>67</v>
      </c>
      <c r="H353" s="2" t="s">
        <v>31</v>
      </c>
    </row>
    <row r="354" spans="1:9" x14ac:dyDescent="0.2">
      <c r="A354" s="2" t="s">
        <v>990</v>
      </c>
      <c r="B354" s="2" t="s">
        <v>74</v>
      </c>
      <c r="C354" s="2" t="s">
        <v>824</v>
      </c>
      <c r="D354" s="4">
        <v>45917</v>
      </c>
      <c r="E354" s="2" t="s">
        <v>991</v>
      </c>
      <c r="F354" s="2" t="s">
        <v>22</v>
      </c>
      <c r="G354" s="2" t="s">
        <v>63</v>
      </c>
      <c r="H354" s="2" t="s">
        <v>105</v>
      </c>
    </row>
    <row r="355" spans="1:9" x14ac:dyDescent="0.2">
      <c r="A355" s="2" t="s">
        <v>992</v>
      </c>
      <c r="B355" s="2" t="s">
        <v>33</v>
      </c>
      <c r="C355" s="2" t="s">
        <v>993</v>
      </c>
      <c r="D355" s="4">
        <v>45917</v>
      </c>
      <c r="E355" s="2" t="s">
        <v>994</v>
      </c>
      <c r="F355" s="2" t="s">
        <v>37</v>
      </c>
      <c r="H355" s="2" t="s">
        <v>41</v>
      </c>
    </row>
    <row r="356" spans="1:9" x14ac:dyDescent="0.2">
      <c r="A356" s="2" t="s">
        <v>995</v>
      </c>
      <c r="B356" s="2" t="s">
        <v>781</v>
      </c>
      <c r="C356" s="4">
        <v>45872</v>
      </c>
      <c r="D356" s="4">
        <v>45887</v>
      </c>
      <c r="E356" s="2" t="s">
        <v>996</v>
      </c>
      <c r="F356" s="2" t="s">
        <v>14</v>
      </c>
      <c r="G356" s="2" t="s">
        <v>15</v>
      </c>
      <c r="H356" s="2" t="s">
        <v>41</v>
      </c>
      <c r="I356" s="2" t="s">
        <v>58</v>
      </c>
    </row>
    <row r="357" spans="1:9" x14ac:dyDescent="0.2">
      <c r="A357" s="2" t="s">
        <v>997</v>
      </c>
      <c r="B357" s="2" t="s">
        <v>60</v>
      </c>
      <c r="C357" s="4">
        <v>45873</v>
      </c>
      <c r="D357" s="2" t="s">
        <v>998</v>
      </c>
      <c r="E357" s="2" t="s">
        <v>999</v>
      </c>
      <c r="F357" s="2" t="s">
        <v>37</v>
      </c>
      <c r="G357" s="2" t="s">
        <v>114</v>
      </c>
      <c r="H357" s="2" t="s">
        <v>31</v>
      </c>
      <c r="I357" s="2" t="s">
        <v>17</v>
      </c>
    </row>
    <row r="358" spans="1:9" x14ac:dyDescent="0.2">
      <c r="A358" s="2" t="s">
        <v>1000</v>
      </c>
      <c r="B358" s="2" t="s">
        <v>19</v>
      </c>
      <c r="C358" s="2" t="s">
        <v>1001</v>
      </c>
      <c r="D358" s="2" t="s">
        <v>1002</v>
      </c>
      <c r="E358" s="2" t="s">
        <v>1003</v>
      </c>
      <c r="F358" s="2" t="s">
        <v>37</v>
      </c>
      <c r="G358" s="2" t="s">
        <v>63</v>
      </c>
      <c r="H358" s="2" t="s">
        <v>41</v>
      </c>
      <c r="I358" s="2" t="s">
        <v>17</v>
      </c>
    </row>
    <row r="359" spans="1:9" x14ac:dyDescent="0.2">
      <c r="A359" s="2" t="s">
        <v>1004</v>
      </c>
      <c r="B359" s="2" t="s">
        <v>60</v>
      </c>
      <c r="C359" s="2" t="s">
        <v>1001</v>
      </c>
      <c r="D359" s="2" t="s">
        <v>1002</v>
      </c>
      <c r="E359" s="2" t="s">
        <v>1005</v>
      </c>
      <c r="F359" s="2" t="s">
        <v>37</v>
      </c>
      <c r="G359" s="2" t="s">
        <v>23</v>
      </c>
      <c r="H359" s="2" t="s">
        <v>41</v>
      </c>
      <c r="I359" s="2" t="s">
        <v>64</v>
      </c>
    </row>
    <row r="360" spans="1:9" x14ac:dyDescent="0.2">
      <c r="A360" s="2" t="s">
        <v>1006</v>
      </c>
      <c r="B360" s="2" t="s">
        <v>132</v>
      </c>
      <c r="C360" s="2" t="s">
        <v>1001</v>
      </c>
      <c r="D360" s="4">
        <v>45903</v>
      </c>
      <c r="E360" s="2" t="s">
        <v>1007</v>
      </c>
      <c r="G360" s="2" t="s">
        <v>249</v>
      </c>
      <c r="H360" s="2" t="s">
        <v>41</v>
      </c>
      <c r="I360" s="2" t="s">
        <v>17</v>
      </c>
    </row>
    <row r="361" spans="1:9" x14ac:dyDescent="0.2">
      <c r="A361" s="2" t="s">
        <v>1008</v>
      </c>
      <c r="B361" s="2" t="s">
        <v>43</v>
      </c>
      <c r="C361" s="4">
        <v>45910</v>
      </c>
      <c r="D361" s="2" t="s">
        <v>1009</v>
      </c>
      <c r="E361" s="2" t="s">
        <v>1010</v>
      </c>
      <c r="F361" s="2" t="s">
        <v>37</v>
      </c>
      <c r="G361" s="2" t="s">
        <v>57</v>
      </c>
      <c r="H361" s="2" t="s">
        <v>16</v>
      </c>
      <c r="I361" s="2" t="s">
        <v>64</v>
      </c>
    </row>
    <row r="362" spans="1:9" x14ac:dyDescent="0.2">
      <c r="A362" s="2" t="s">
        <v>1011</v>
      </c>
      <c r="B362" s="2" t="s">
        <v>165</v>
      </c>
      <c r="C362" s="2" t="s">
        <v>1012</v>
      </c>
      <c r="D362" s="2" t="s">
        <v>1013</v>
      </c>
      <c r="E362" s="2" t="s">
        <v>1014</v>
      </c>
      <c r="F362" s="2" t="s">
        <v>37</v>
      </c>
      <c r="G362" s="2" t="s">
        <v>169</v>
      </c>
      <c r="H362" s="2" t="s">
        <v>105</v>
      </c>
    </row>
    <row r="363" spans="1:9" x14ac:dyDescent="0.2">
      <c r="A363" s="2" t="s">
        <v>1015</v>
      </c>
      <c r="B363" s="2" t="s">
        <v>165</v>
      </c>
      <c r="C363" s="2" t="s">
        <v>1016</v>
      </c>
      <c r="D363" s="2" t="s">
        <v>1017</v>
      </c>
      <c r="E363" s="2" t="s">
        <v>1018</v>
      </c>
      <c r="F363" s="2" t="s">
        <v>37</v>
      </c>
      <c r="G363" s="2" t="s">
        <v>57</v>
      </c>
      <c r="H363" s="2" t="s">
        <v>41</v>
      </c>
      <c r="I363" s="2" t="s">
        <v>24</v>
      </c>
    </row>
    <row r="364" spans="1:9" x14ac:dyDescent="0.2">
      <c r="A364" s="2" t="s">
        <v>1019</v>
      </c>
      <c r="B364" s="2" t="s">
        <v>79</v>
      </c>
      <c r="C364" s="2" t="s">
        <v>1020</v>
      </c>
      <c r="D364" s="2" t="s">
        <v>1021</v>
      </c>
      <c r="E364" s="2" t="s">
        <v>1022</v>
      </c>
      <c r="F364" s="2" t="s">
        <v>37</v>
      </c>
      <c r="G364" s="2" t="s">
        <v>114</v>
      </c>
      <c r="H364" s="2" t="s">
        <v>105</v>
      </c>
    </row>
    <row r="365" spans="1:9" x14ac:dyDescent="0.2">
      <c r="A365" s="2" t="s">
        <v>1023</v>
      </c>
      <c r="B365" s="2" t="s">
        <v>26</v>
      </c>
      <c r="C365" s="4">
        <v>45875</v>
      </c>
      <c r="D365" s="4">
        <v>45905</v>
      </c>
      <c r="E365" s="2" t="s">
        <v>1024</v>
      </c>
      <c r="F365" s="2" t="s">
        <v>37</v>
      </c>
      <c r="G365" s="2" t="s">
        <v>94</v>
      </c>
      <c r="H365" s="2" t="s">
        <v>31</v>
      </c>
    </row>
    <row r="366" spans="1:9" x14ac:dyDescent="0.2">
      <c r="A366" s="2" t="s">
        <v>1025</v>
      </c>
      <c r="B366" s="2" t="s">
        <v>39</v>
      </c>
      <c r="C366" s="4">
        <v>45876</v>
      </c>
      <c r="D366" s="4">
        <v>45906</v>
      </c>
      <c r="E366" s="2">
        <v>8056.14</v>
      </c>
      <c r="F366" s="2" t="s">
        <v>29</v>
      </c>
      <c r="G366" s="2" t="s">
        <v>210</v>
      </c>
      <c r="H366" s="2" t="s">
        <v>105</v>
      </c>
      <c r="I366" s="2" t="s">
        <v>24</v>
      </c>
    </row>
    <row r="367" spans="1:9" x14ac:dyDescent="0.2">
      <c r="A367" s="2" t="s">
        <v>1026</v>
      </c>
      <c r="B367" s="2" t="s">
        <v>198</v>
      </c>
      <c r="C367" s="2" t="s">
        <v>1027</v>
      </c>
      <c r="D367" s="2" t="s">
        <v>1028</v>
      </c>
      <c r="E367" s="2" t="s">
        <v>1029</v>
      </c>
      <c r="F367" s="2" t="s">
        <v>37</v>
      </c>
      <c r="G367" s="2" t="s">
        <v>67</v>
      </c>
      <c r="H367" s="2" t="s">
        <v>31</v>
      </c>
      <c r="I367" s="2" t="s">
        <v>58</v>
      </c>
    </row>
    <row r="368" spans="1:9" x14ac:dyDescent="0.2">
      <c r="A368" s="2" t="s">
        <v>1030</v>
      </c>
      <c r="B368" s="2" t="s">
        <v>1031</v>
      </c>
      <c r="C368" s="4">
        <v>45714</v>
      </c>
      <c r="D368" s="4">
        <v>45744</v>
      </c>
      <c r="E368" s="2">
        <v>6213</v>
      </c>
      <c r="F368" s="2" t="s">
        <v>37</v>
      </c>
      <c r="G368" s="2" t="s">
        <v>210</v>
      </c>
      <c r="H368" s="2" t="s">
        <v>105</v>
      </c>
      <c r="I368" s="2" t="s">
        <v>58</v>
      </c>
    </row>
    <row r="369" spans="1:9" x14ac:dyDescent="0.2">
      <c r="A369" s="2" t="s">
        <v>1032</v>
      </c>
      <c r="B369" s="2" t="s">
        <v>48</v>
      </c>
      <c r="C369" s="2" t="s">
        <v>1033</v>
      </c>
      <c r="D369" s="4">
        <v>45908</v>
      </c>
      <c r="E369" s="2" t="s">
        <v>1034</v>
      </c>
      <c r="F369" s="2" t="s">
        <v>37</v>
      </c>
      <c r="G369" s="2" t="s">
        <v>57</v>
      </c>
      <c r="H369" s="2" t="s">
        <v>41</v>
      </c>
    </row>
    <row r="370" spans="1:9" x14ac:dyDescent="0.2">
      <c r="A370" s="2" t="s">
        <v>1035</v>
      </c>
      <c r="B370" s="2" t="s">
        <v>198</v>
      </c>
      <c r="C370" s="4">
        <v>45879</v>
      </c>
      <c r="D370" s="4">
        <v>45924</v>
      </c>
      <c r="E370" s="2">
        <v>47604.92</v>
      </c>
      <c r="F370" s="2" t="s">
        <v>37</v>
      </c>
      <c r="G370" s="2" t="s">
        <v>23</v>
      </c>
      <c r="H370" s="2" t="s">
        <v>105</v>
      </c>
      <c r="I370" s="2" t="s">
        <v>24</v>
      </c>
    </row>
    <row r="371" spans="1:9" x14ac:dyDescent="0.2">
      <c r="A371" s="2" t="s">
        <v>1036</v>
      </c>
      <c r="B371" s="2" t="s">
        <v>48</v>
      </c>
      <c r="C371" s="2" t="s">
        <v>1037</v>
      </c>
      <c r="D371" s="2" t="s">
        <v>1038</v>
      </c>
      <c r="E371" s="2" t="s">
        <v>1039</v>
      </c>
      <c r="F371" s="2" t="s">
        <v>37</v>
      </c>
      <c r="G371" s="2" t="s">
        <v>46</v>
      </c>
      <c r="H371" s="2" t="s">
        <v>105</v>
      </c>
      <c r="I371" s="2" t="s">
        <v>24</v>
      </c>
    </row>
    <row r="372" spans="1:9" x14ac:dyDescent="0.2">
      <c r="A372" s="2" t="s">
        <v>1040</v>
      </c>
      <c r="B372" s="2" t="s">
        <v>107</v>
      </c>
      <c r="C372" s="4">
        <v>45881</v>
      </c>
      <c r="D372" s="4">
        <v>45926</v>
      </c>
      <c r="E372" s="2" t="s">
        <v>1041</v>
      </c>
      <c r="F372" s="2" t="s">
        <v>37</v>
      </c>
      <c r="G372" s="2" t="s">
        <v>67</v>
      </c>
      <c r="H372" s="2" t="s">
        <v>31</v>
      </c>
    </row>
    <row r="373" spans="1:9" x14ac:dyDescent="0.2">
      <c r="A373" s="2" t="s">
        <v>1042</v>
      </c>
      <c r="B373" s="2" t="s">
        <v>33</v>
      </c>
      <c r="C373" s="4">
        <v>45881</v>
      </c>
      <c r="D373" s="2" t="s">
        <v>1043</v>
      </c>
      <c r="E373" s="2" t="s">
        <v>1044</v>
      </c>
      <c r="F373" s="2" t="s">
        <v>22</v>
      </c>
      <c r="H373" s="2" t="s">
        <v>41</v>
      </c>
    </row>
    <row r="374" spans="1:9" x14ac:dyDescent="0.2">
      <c r="A374" s="2" t="s">
        <v>1045</v>
      </c>
      <c r="B374" s="2" t="s">
        <v>26</v>
      </c>
      <c r="C374" s="4">
        <v>45882</v>
      </c>
      <c r="D374" s="2" t="s">
        <v>1046</v>
      </c>
      <c r="E374" s="2">
        <v>-1185.44</v>
      </c>
      <c r="F374" s="2" t="s">
        <v>37</v>
      </c>
      <c r="G374" s="2" t="s">
        <v>249</v>
      </c>
      <c r="H374" s="2" t="s">
        <v>41</v>
      </c>
    </row>
    <row r="375" spans="1:9" x14ac:dyDescent="0.2">
      <c r="A375" s="2" t="s">
        <v>1047</v>
      </c>
      <c r="B375" s="2" t="s">
        <v>103</v>
      </c>
      <c r="C375" s="2" t="s">
        <v>1048</v>
      </c>
      <c r="D375" s="4">
        <v>45928</v>
      </c>
      <c r="E375" s="2" t="s">
        <v>1049</v>
      </c>
      <c r="F375" s="2" t="s">
        <v>37</v>
      </c>
      <c r="G375" s="2" t="s">
        <v>114</v>
      </c>
      <c r="H375" s="2" t="s">
        <v>31</v>
      </c>
      <c r="I375" s="2" t="s">
        <v>58</v>
      </c>
    </row>
    <row r="376" spans="1:9" x14ac:dyDescent="0.2">
      <c r="A376" s="2" t="s">
        <v>1050</v>
      </c>
      <c r="B376" s="2" t="s">
        <v>79</v>
      </c>
      <c r="C376" s="4">
        <v>45884</v>
      </c>
      <c r="D376" s="2" t="s">
        <v>1051</v>
      </c>
      <c r="E376" s="2">
        <v>17903.11</v>
      </c>
      <c r="F376" s="2" t="s">
        <v>22</v>
      </c>
      <c r="G376" s="2" t="s">
        <v>67</v>
      </c>
      <c r="H376" s="2" t="s">
        <v>105</v>
      </c>
    </row>
    <row r="377" spans="1:9" x14ac:dyDescent="0.2">
      <c r="A377" s="2" t="s">
        <v>1052</v>
      </c>
      <c r="B377" s="2" t="s">
        <v>60</v>
      </c>
      <c r="C377" s="2" t="s">
        <v>869</v>
      </c>
      <c r="D377" s="2" t="s">
        <v>1051</v>
      </c>
      <c r="E377" s="2" t="s">
        <v>1053</v>
      </c>
      <c r="F377" s="2" t="s">
        <v>37</v>
      </c>
      <c r="G377" s="2" t="s">
        <v>63</v>
      </c>
      <c r="H377" s="2" t="s">
        <v>124</v>
      </c>
    </row>
    <row r="378" spans="1:9" x14ac:dyDescent="0.2">
      <c r="A378" s="2" t="s">
        <v>1054</v>
      </c>
      <c r="B378" s="2" t="s">
        <v>165</v>
      </c>
      <c r="C378" s="2" t="s">
        <v>1055</v>
      </c>
      <c r="D378" s="2" t="s">
        <v>1056</v>
      </c>
      <c r="E378" s="2">
        <v>1760.88</v>
      </c>
      <c r="F378" s="2" t="s">
        <v>14</v>
      </c>
      <c r="G378" s="2" t="s">
        <v>210</v>
      </c>
      <c r="H378" s="2" t="s">
        <v>105</v>
      </c>
      <c r="I378" s="2" t="s">
        <v>64</v>
      </c>
    </row>
    <row r="379" spans="1:9" x14ac:dyDescent="0.2">
      <c r="A379" s="2" t="s">
        <v>1057</v>
      </c>
      <c r="B379" s="2" t="s">
        <v>103</v>
      </c>
      <c r="C379" s="4">
        <v>45886</v>
      </c>
      <c r="D379" s="4">
        <v>45931</v>
      </c>
      <c r="E379" s="2">
        <v>6957.63</v>
      </c>
      <c r="F379" s="2" t="s">
        <v>37</v>
      </c>
      <c r="G379" s="2" t="s">
        <v>23</v>
      </c>
      <c r="H379" s="2" t="s">
        <v>105</v>
      </c>
    </row>
    <row r="380" spans="1:9" x14ac:dyDescent="0.2">
      <c r="A380" s="2" t="s">
        <v>1058</v>
      </c>
      <c r="B380" s="2" t="s">
        <v>267</v>
      </c>
      <c r="C380" s="2" t="s">
        <v>1055</v>
      </c>
      <c r="D380" s="2" t="s">
        <v>1059</v>
      </c>
      <c r="E380" s="2">
        <v>10456.370000000001</v>
      </c>
      <c r="F380" s="2" t="s">
        <v>419</v>
      </c>
      <c r="G380" s="2" t="s">
        <v>94</v>
      </c>
      <c r="H380" s="2" t="s">
        <v>16</v>
      </c>
      <c r="I380" s="2" t="s">
        <v>64</v>
      </c>
    </row>
    <row r="381" spans="1:9" x14ac:dyDescent="0.2">
      <c r="A381" s="2" t="s">
        <v>1060</v>
      </c>
      <c r="B381" s="2" t="s">
        <v>103</v>
      </c>
      <c r="C381" s="2" t="s">
        <v>1055</v>
      </c>
      <c r="D381" s="2" t="s">
        <v>1061</v>
      </c>
      <c r="E381" s="2" t="s">
        <v>1062</v>
      </c>
      <c r="F381" s="2" t="s">
        <v>37</v>
      </c>
      <c r="G381" s="2" t="s">
        <v>23</v>
      </c>
      <c r="H381" s="2" t="s">
        <v>31</v>
      </c>
      <c r="I381" s="2" t="s">
        <v>64</v>
      </c>
    </row>
    <row r="382" spans="1:9" x14ac:dyDescent="0.2">
      <c r="A382" s="2" t="s">
        <v>1063</v>
      </c>
      <c r="B382" s="2" t="s">
        <v>103</v>
      </c>
      <c r="C382" s="2" t="s">
        <v>1064</v>
      </c>
      <c r="D382" s="2" t="s">
        <v>1065</v>
      </c>
      <c r="E382" s="2" t="s">
        <v>1066</v>
      </c>
      <c r="F382" s="2" t="s">
        <v>37</v>
      </c>
      <c r="G382" s="2" t="s">
        <v>114</v>
      </c>
      <c r="H382" s="2" t="s">
        <v>105</v>
      </c>
      <c r="I382" s="2" t="s">
        <v>17</v>
      </c>
    </row>
    <row r="383" spans="1:9" x14ac:dyDescent="0.2">
      <c r="A383" s="2" t="s">
        <v>1067</v>
      </c>
      <c r="B383" s="2" t="s">
        <v>165</v>
      </c>
      <c r="C383" s="2" t="s">
        <v>895</v>
      </c>
      <c r="D383" s="2" t="s">
        <v>1068</v>
      </c>
      <c r="E383" s="2" t="s">
        <v>1069</v>
      </c>
      <c r="G383" s="2" t="s">
        <v>169</v>
      </c>
      <c r="H383" s="2" t="s">
        <v>16</v>
      </c>
      <c r="I383" s="2" t="s">
        <v>17</v>
      </c>
    </row>
    <row r="384" spans="1:9" x14ac:dyDescent="0.2">
      <c r="A384" s="2" t="s">
        <v>1070</v>
      </c>
      <c r="B384" s="2" t="s">
        <v>107</v>
      </c>
      <c r="C384" s="4">
        <v>45889</v>
      </c>
      <c r="D384" s="2" t="s">
        <v>1071</v>
      </c>
      <c r="E384" s="2" t="s">
        <v>1072</v>
      </c>
      <c r="F384" s="2" t="s">
        <v>37</v>
      </c>
      <c r="G384" s="2" t="s">
        <v>67</v>
      </c>
      <c r="H384" s="2" t="s">
        <v>105</v>
      </c>
      <c r="I384" s="2" t="s">
        <v>24</v>
      </c>
    </row>
    <row r="385" spans="1:9" x14ac:dyDescent="0.2">
      <c r="A385" s="2" t="s">
        <v>1073</v>
      </c>
      <c r="B385" s="2" t="s">
        <v>19</v>
      </c>
      <c r="C385" s="2" t="s">
        <v>1074</v>
      </c>
      <c r="D385" s="2" t="s">
        <v>1075</v>
      </c>
      <c r="E385" s="2" t="s">
        <v>1076</v>
      </c>
      <c r="F385" s="2" t="s">
        <v>29</v>
      </c>
      <c r="G385" s="2" t="s">
        <v>114</v>
      </c>
      <c r="H385" s="2" t="s">
        <v>31</v>
      </c>
    </row>
    <row r="386" spans="1:9" x14ac:dyDescent="0.2">
      <c r="A386" s="2" t="s">
        <v>1077</v>
      </c>
      <c r="B386" s="2" t="s">
        <v>48</v>
      </c>
      <c r="C386" s="4">
        <v>45889</v>
      </c>
      <c r="D386" s="4">
        <v>45919</v>
      </c>
      <c r="E386" s="2">
        <v>3706.2</v>
      </c>
      <c r="F386" s="2" t="s">
        <v>37</v>
      </c>
      <c r="G386" s="2" t="s">
        <v>169</v>
      </c>
      <c r="H386" s="2" t="s">
        <v>105</v>
      </c>
      <c r="I386" s="2" t="s">
        <v>64</v>
      </c>
    </row>
    <row r="387" spans="1:9" x14ac:dyDescent="0.2">
      <c r="A387" s="2" t="s">
        <v>1078</v>
      </c>
      <c r="B387" s="2" t="s">
        <v>198</v>
      </c>
      <c r="C387" s="2" t="s">
        <v>1079</v>
      </c>
      <c r="D387" s="2" t="s">
        <v>1080</v>
      </c>
      <c r="E387" s="2">
        <v>45576.57</v>
      </c>
      <c r="G387" s="2" t="s">
        <v>114</v>
      </c>
      <c r="H387" s="2" t="s">
        <v>105</v>
      </c>
      <c r="I387" s="2" t="s">
        <v>64</v>
      </c>
    </row>
    <row r="388" spans="1:9" x14ac:dyDescent="0.2">
      <c r="A388" s="2" t="s">
        <v>1081</v>
      </c>
      <c r="B388" s="2" t="s">
        <v>107</v>
      </c>
      <c r="C388" s="2" t="s">
        <v>1082</v>
      </c>
      <c r="D388" s="2" t="s">
        <v>1083</v>
      </c>
      <c r="E388" s="2">
        <v>34476.31</v>
      </c>
      <c r="F388" s="2" t="s">
        <v>37</v>
      </c>
      <c r="G388" s="2" t="s">
        <v>23</v>
      </c>
      <c r="H388" s="2" t="s">
        <v>105</v>
      </c>
    </row>
    <row r="389" spans="1:9" x14ac:dyDescent="0.2">
      <c r="A389" s="2" t="s">
        <v>1084</v>
      </c>
      <c r="B389" s="2" t="s">
        <v>116</v>
      </c>
      <c r="C389" s="2" t="s">
        <v>1085</v>
      </c>
      <c r="D389" s="2" t="s">
        <v>1086</v>
      </c>
      <c r="E389" s="2" t="s">
        <v>1087</v>
      </c>
      <c r="G389" s="2" t="s">
        <v>23</v>
      </c>
      <c r="H389" s="2" t="s">
        <v>16</v>
      </c>
      <c r="I389" s="2" t="s">
        <v>64</v>
      </c>
    </row>
    <row r="390" spans="1:9" x14ac:dyDescent="0.2">
      <c r="A390" s="2" t="s">
        <v>1088</v>
      </c>
      <c r="B390" s="2" t="s">
        <v>107</v>
      </c>
      <c r="C390" s="4">
        <v>45893</v>
      </c>
      <c r="D390" s="2" t="s">
        <v>1089</v>
      </c>
      <c r="E390" s="2">
        <v>19921.77</v>
      </c>
      <c r="F390" s="2" t="s">
        <v>37</v>
      </c>
      <c r="G390" s="2" t="s">
        <v>67</v>
      </c>
      <c r="H390" s="2" t="s">
        <v>41</v>
      </c>
      <c r="I390" s="2" t="s">
        <v>17</v>
      </c>
    </row>
    <row r="391" spans="1:9" x14ac:dyDescent="0.2">
      <c r="A391" s="2" t="s">
        <v>540</v>
      </c>
      <c r="B391" s="2" t="s">
        <v>12</v>
      </c>
      <c r="C391" s="2" t="s">
        <v>541</v>
      </c>
      <c r="D391" s="4">
        <v>45908</v>
      </c>
      <c r="E391" s="2">
        <v>1664.68</v>
      </c>
      <c r="F391" s="2" t="s">
        <v>22</v>
      </c>
      <c r="G391" s="2" t="s">
        <v>15</v>
      </c>
      <c r="H391" s="2" t="s">
        <v>105</v>
      </c>
    </row>
    <row r="392" spans="1:9" x14ac:dyDescent="0.2">
      <c r="A392" s="2" t="s">
        <v>1090</v>
      </c>
      <c r="B392" s="2" t="s">
        <v>103</v>
      </c>
      <c r="C392" s="4">
        <v>45894</v>
      </c>
      <c r="D392" s="4">
        <v>45939</v>
      </c>
      <c r="E392" s="2" t="s">
        <v>1091</v>
      </c>
      <c r="F392" s="2" t="s">
        <v>22</v>
      </c>
      <c r="G392" s="2" t="s">
        <v>23</v>
      </c>
      <c r="H392" s="2" t="s">
        <v>41</v>
      </c>
    </row>
    <row r="393" spans="1:9" x14ac:dyDescent="0.2">
      <c r="A393" s="2" t="s">
        <v>1092</v>
      </c>
      <c r="B393" s="2" t="s">
        <v>107</v>
      </c>
      <c r="C393" s="2" t="s">
        <v>1093</v>
      </c>
      <c r="D393" s="2" t="s">
        <v>1094</v>
      </c>
      <c r="E393" s="2" t="s">
        <v>1095</v>
      </c>
      <c r="F393" s="2" t="s">
        <v>22</v>
      </c>
      <c r="G393" s="2" t="s">
        <v>114</v>
      </c>
      <c r="H393" s="2" t="s">
        <v>105</v>
      </c>
      <c r="I393" s="2" t="s">
        <v>17</v>
      </c>
    </row>
    <row r="394" spans="1:9" x14ac:dyDescent="0.2">
      <c r="A394" s="2" t="s">
        <v>1096</v>
      </c>
      <c r="B394" s="2" t="s">
        <v>19</v>
      </c>
      <c r="C394" s="4">
        <v>45894</v>
      </c>
      <c r="D394" s="2" t="s">
        <v>1097</v>
      </c>
      <c r="E394" s="2" t="s">
        <v>1098</v>
      </c>
      <c r="F394" s="2" t="s">
        <v>22</v>
      </c>
      <c r="G394" s="2" t="s">
        <v>114</v>
      </c>
      <c r="H394" s="2" t="s">
        <v>31</v>
      </c>
    </row>
    <row r="395" spans="1:9" x14ac:dyDescent="0.2">
      <c r="A395" s="2" t="s">
        <v>1099</v>
      </c>
      <c r="B395" s="2" t="s">
        <v>79</v>
      </c>
      <c r="C395" s="2" t="s">
        <v>903</v>
      </c>
      <c r="D395" s="2" t="s">
        <v>1009</v>
      </c>
      <c r="E395" s="2" t="s">
        <v>1100</v>
      </c>
      <c r="G395" s="2" t="s">
        <v>114</v>
      </c>
      <c r="H395" s="2" t="s">
        <v>31</v>
      </c>
    </row>
    <row r="396" spans="1:9" x14ac:dyDescent="0.2">
      <c r="A396" s="2" t="s">
        <v>1101</v>
      </c>
      <c r="B396" s="2" t="s">
        <v>116</v>
      </c>
      <c r="C396" s="2" t="s">
        <v>1102</v>
      </c>
      <c r="D396" s="2" t="s">
        <v>1103</v>
      </c>
      <c r="E396" s="2" t="s">
        <v>1104</v>
      </c>
      <c r="F396" s="2" t="s">
        <v>22</v>
      </c>
      <c r="G396" s="2" t="s">
        <v>63</v>
      </c>
      <c r="H396" s="2" t="s">
        <v>41</v>
      </c>
    </row>
    <row r="397" spans="1:9" x14ac:dyDescent="0.2">
      <c r="A397" s="2" t="s">
        <v>1105</v>
      </c>
      <c r="B397" s="2" t="s">
        <v>107</v>
      </c>
      <c r="C397" s="2" t="s">
        <v>903</v>
      </c>
      <c r="D397" s="2" t="s">
        <v>1009</v>
      </c>
      <c r="E397" s="2" t="s">
        <v>1106</v>
      </c>
      <c r="F397" s="2" t="s">
        <v>37</v>
      </c>
      <c r="G397" s="2" t="s">
        <v>23</v>
      </c>
      <c r="H397" s="2" t="s">
        <v>41</v>
      </c>
    </row>
    <row r="398" spans="1:9" x14ac:dyDescent="0.2">
      <c r="A398" s="2" t="s">
        <v>1107</v>
      </c>
      <c r="B398" s="2" t="s">
        <v>132</v>
      </c>
      <c r="C398" s="2" t="s">
        <v>1108</v>
      </c>
      <c r="D398" s="4">
        <v>45927</v>
      </c>
      <c r="E398" s="2">
        <v>17569.740000000002</v>
      </c>
      <c r="F398" s="2" t="s">
        <v>37</v>
      </c>
      <c r="G398" s="2" t="s">
        <v>30</v>
      </c>
      <c r="H398" s="2" t="s">
        <v>41</v>
      </c>
    </row>
    <row r="399" spans="1:9" x14ac:dyDescent="0.2">
      <c r="A399" s="2" t="s">
        <v>1109</v>
      </c>
      <c r="B399" s="2" t="s">
        <v>107</v>
      </c>
      <c r="C399" s="2" t="s">
        <v>1110</v>
      </c>
      <c r="D399" s="2" t="s">
        <v>1111</v>
      </c>
      <c r="E399" s="2">
        <v>34618.959999999999</v>
      </c>
      <c r="G399" s="2" t="s">
        <v>23</v>
      </c>
      <c r="H399" s="2" t="s">
        <v>41</v>
      </c>
      <c r="I399" s="2" t="s">
        <v>64</v>
      </c>
    </row>
    <row r="400" spans="1:9" x14ac:dyDescent="0.2">
      <c r="A400" s="2" t="s">
        <v>1112</v>
      </c>
      <c r="B400" s="2" t="s">
        <v>26</v>
      </c>
      <c r="C400" s="4">
        <v>45898</v>
      </c>
      <c r="D400" s="2" t="s">
        <v>1113</v>
      </c>
      <c r="E400" s="2" t="s">
        <v>1114</v>
      </c>
      <c r="F400" s="2" t="s">
        <v>22</v>
      </c>
      <c r="G400" s="2" t="s">
        <v>94</v>
      </c>
      <c r="H400" s="2" t="s">
        <v>31</v>
      </c>
    </row>
    <row r="401" spans="1:9" x14ac:dyDescent="0.2">
      <c r="A401" s="2" t="s">
        <v>1115</v>
      </c>
      <c r="B401" s="2" t="s">
        <v>48</v>
      </c>
      <c r="C401" s="2" t="s">
        <v>932</v>
      </c>
      <c r="D401" s="2" t="s">
        <v>1116</v>
      </c>
      <c r="E401" s="2" t="s">
        <v>1117</v>
      </c>
      <c r="F401" s="2" t="s">
        <v>37</v>
      </c>
      <c r="G401" s="2" t="s">
        <v>57</v>
      </c>
      <c r="H401" s="2" t="s">
        <v>16</v>
      </c>
      <c r="I401" s="2" t="s">
        <v>17</v>
      </c>
    </row>
    <row r="402" spans="1:9" x14ac:dyDescent="0.2">
      <c r="A402" s="2" t="s">
        <v>1118</v>
      </c>
      <c r="B402" s="2" t="s">
        <v>19</v>
      </c>
      <c r="C402" s="2" t="s">
        <v>1119</v>
      </c>
      <c r="D402" s="4">
        <v>45945</v>
      </c>
      <c r="E402" s="2">
        <v>32919.800000000003</v>
      </c>
      <c r="F402" s="2" t="s">
        <v>37</v>
      </c>
      <c r="G402" s="2" t="s">
        <v>23</v>
      </c>
      <c r="H402" s="2" t="s">
        <v>31</v>
      </c>
      <c r="I402" s="2" t="s">
        <v>58</v>
      </c>
    </row>
    <row r="403" spans="1:9" x14ac:dyDescent="0.2">
      <c r="A403" s="2" t="s">
        <v>1120</v>
      </c>
      <c r="B403" s="2" t="s">
        <v>116</v>
      </c>
      <c r="C403" s="4">
        <v>45900</v>
      </c>
      <c r="D403" s="2" t="s">
        <v>1121</v>
      </c>
      <c r="E403" s="2" t="s">
        <v>1122</v>
      </c>
      <c r="F403" s="2" t="s">
        <v>37</v>
      </c>
      <c r="G403" s="2" t="s">
        <v>67</v>
      </c>
      <c r="H403" s="2" t="s">
        <v>16</v>
      </c>
      <c r="I403" s="2" t="s">
        <v>17</v>
      </c>
    </row>
    <row r="404" spans="1:9" x14ac:dyDescent="0.2">
      <c r="A404" s="2" t="s">
        <v>1123</v>
      </c>
      <c r="B404" s="2" t="s">
        <v>103</v>
      </c>
      <c r="C404" s="2" t="s">
        <v>1124</v>
      </c>
      <c r="D404" s="2" t="s">
        <v>1125</v>
      </c>
      <c r="E404" s="2" t="s">
        <v>1126</v>
      </c>
      <c r="F404" s="2" t="s">
        <v>37</v>
      </c>
      <c r="G404" s="2" t="s">
        <v>23</v>
      </c>
      <c r="H404" s="2" t="s">
        <v>41</v>
      </c>
      <c r="I404" s="2" t="s">
        <v>24</v>
      </c>
    </row>
    <row r="405" spans="1:9" x14ac:dyDescent="0.2">
      <c r="A405" s="2" t="s">
        <v>1127</v>
      </c>
      <c r="B405" s="2" t="s">
        <v>84</v>
      </c>
      <c r="C405" s="2" t="s">
        <v>1119</v>
      </c>
      <c r="D405" s="4">
        <v>45945</v>
      </c>
      <c r="E405" s="2">
        <v>25695.38</v>
      </c>
      <c r="F405" s="2" t="s">
        <v>37</v>
      </c>
      <c r="G405" s="2" t="s">
        <v>63</v>
      </c>
      <c r="H405" s="2" t="s">
        <v>41</v>
      </c>
    </row>
    <row r="407" spans="1:9" x14ac:dyDescent="0.2">
      <c r="A407" s="2" t="s">
        <v>1128</v>
      </c>
      <c r="B407" s="2" t="s">
        <v>308</v>
      </c>
      <c r="C407" s="4">
        <v>45903</v>
      </c>
      <c r="D407" s="2" t="s">
        <v>1068</v>
      </c>
      <c r="E407" s="2" t="s">
        <v>1129</v>
      </c>
      <c r="F407" s="2" t="s">
        <v>37</v>
      </c>
      <c r="G407" s="2" t="s">
        <v>254</v>
      </c>
      <c r="H407" s="2" t="s">
        <v>105</v>
      </c>
    </row>
    <row r="408" spans="1:9" x14ac:dyDescent="0.2">
      <c r="A408" s="2" t="s">
        <v>1130</v>
      </c>
      <c r="B408" s="2" t="s">
        <v>103</v>
      </c>
      <c r="C408" s="4">
        <v>45903</v>
      </c>
      <c r="D408" s="2" t="s">
        <v>1131</v>
      </c>
      <c r="E408" s="2" t="s">
        <v>1132</v>
      </c>
      <c r="F408" s="2" t="s">
        <v>29</v>
      </c>
      <c r="G408" s="2" t="s">
        <v>23</v>
      </c>
      <c r="H408" s="2" t="s">
        <v>41</v>
      </c>
    </row>
    <row r="409" spans="1:9" x14ac:dyDescent="0.2">
      <c r="A409" s="2" t="s">
        <v>1133</v>
      </c>
      <c r="B409" s="2" t="s">
        <v>198</v>
      </c>
      <c r="C409" s="2" t="s">
        <v>1134</v>
      </c>
      <c r="D409" s="4">
        <v>45948</v>
      </c>
      <c r="E409" s="2" t="s">
        <v>1135</v>
      </c>
      <c r="F409" s="2" t="s">
        <v>37</v>
      </c>
      <c r="G409" s="2" t="s">
        <v>23</v>
      </c>
      <c r="H409" s="2" t="s">
        <v>105</v>
      </c>
      <c r="I409" s="2" t="s">
        <v>58</v>
      </c>
    </row>
    <row r="410" spans="1:9" x14ac:dyDescent="0.2">
      <c r="A410" s="2" t="s">
        <v>1136</v>
      </c>
      <c r="B410" s="2" t="s">
        <v>141</v>
      </c>
      <c r="C410" s="4">
        <v>45904</v>
      </c>
      <c r="D410" s="4">
        <v>45949</v>
      </c>
      <c r="E410" s="2" t="s">
        <v>1137</v>
      </c>
      <c r="F410" s="2" t="s">
        <v>29</v>
      </c>
      <c r="G410" s="2" t="s">
        <v>67</v>
      </c>
      <c r="H410" s="2" t="s">
        <v>41</v>
      </c>
    </row>
    <row r="411" spans="1:9" x14ac:dyDescent="0.2">
      <c r="A411" s="2" t="s">
        <v>1138</v>
      </c>
      <c r="B411" s="2" t="s">
        <v>103</v>
      </c>
      <c r="C411" s="4">
        <v>45904</v>
      </c>
      <c r="D411" s="2" t="s">
        <v>1139</v>
      </c>
      <c r="E411" s="2" t="s">
        <v>1140</v>
      </c>
      <c r="F411" s="2" t="s">
        <v>29</v>
      </c>
      <c r="G411" s="2" t="s">
        <v>63</v>
      </c>
      <c r="H411" s="2" t="s">
        <v>105</v>
      </c>
      <c r="I411" s="2" t="s">
        <v>64</v>
      </c>
    </row>
    <row r="412" spans="1:9" x14ac:dyDescent="0.2">
      <c r="A412" s="2" t="s">
        <v>1141</v>
      </c>
      <c r="B412" s="2" t="s">
        <v>12</v>
      </c>
      <c r="C412" s="2" t="s">
        <v>1142</v>
      </c>
      <c r="D412" s="2" t="s">
        <v>1143</v>
      </c>
      <c r="E412" s="2">
        <v>1301.43</v>
      </c>
      <c r="F412" s="2" t="s">
        <v>37</v>
      </c>
      <c r="G412" s="2" t="s">
        <v>15</v>
      </c>
      <c r="H412" s="2" t="s">
        <v>31</v>
      </c>
    </row>
    <row r="413" spans="1:9" x14ac:dyDescent="0.2">
      <c r="A413" s="2" t="s">
        <v>1144</v>
      </c>
      <c r="B413" s="2" t="s">
        <v>116</v>
      </c>
      <c r="C413" s="2" t="s">
        <v>1145</v>
      </c>
      <c r="D413" s="2" t="s">
        <v>1146</v>
      </c>
      <c r="E413" s="2">
        <v>6453.78</v>
      </c>
      <c r="F413" s="2" t="s">
        <v>37</v>
      </c>
      <c r="G413" s="2" t="s">
        <v>63</v>
      </c>
      <c r="H413" s="2" t="s">
        <v>41</v>
      </c>
    </row>
    <row r="414" spans="1:9" x14ac:dyDescent="0.2">
      <c r="A414" s="2" t="s">
        <v>1147</v>
      </c>
      <c r="B414" s="2" t="s">
        <v>107</v>
      </c>
      <c r="C414" s="4">
        <v>45906</v>
      </c>
      <c r="D414" s="4">
        <v>45951</v>
      </c>
      <c r="E414" s="2" t="s">
        <v>1148</v>
      </c>
      <c r="F414" s="2" t="s">
        <v>29</v>
      </c>
      <c r="G414" s="2" t="s">
        <v>114</v>
      </c>
      <c r="H414" s="2" t="s">
        <v>31</v>
      </c>
      <c r="I414" s="2" t="s">
        <v>17</v>
      </c>
    </row>
    <row r="415" spans="1:9" x14ac:dyDescent="0.2">
      <c r="A415" s="2" t="s">
        <v>656</v>
      </c>
      <c r="B415" s="2" t="s">
        <v>195</v>
      </c>
      <c r="C415" s="2" t="s">
        <v>657</v>
      </c>
      <c r="D415" s="2" t="s">
        <v>658</v>
      </c>
      <c r="E415" s="2" t="s">
        <v>659</v>
      </c>
      <c r="F415" s="2" t="s">
        <v>29</v>
      </c>
      <c r="G415" s="2" t="s">
        <v>299</v>
      </c>
      <c r="H415" s="2" t="s">
        <v>16</v>
      </c>
      <c r="I415" s="2" t="s">
        <v>24</v>
      </c>
    </row>
    <row r="416" spans="1:9" x14ac:dyDescent="0.2">
      <c r="A416" s="2" t="s">
        <v>1149</v>
      </c>
      <c r="B416" s="2" t="s">
        <v>141</v>
      </c>
      <c r="C416" s="2" t="s">
        <v>657</v>
      </c>
      <c r="D416" s="4">
        <v>45951</v>
      </c>
      <c r="E416" s="2">
        <v>18047.32</v>
      </c>
      <c r="F416" s="2" t="s">
        <v>37</v>
      </c>
      <c r="G416" s="2" t="s">
        <v>114</v>
      </c>
      <c r="H416" s="2" t="s">
        <v>105</v>
      </c>
      <c r="I416" s="2" t="s">
        <v>24</v>
      </c>
    </row>
    <row r="417" spans="1:9" x14ac:dyDescent="0.2">
      <c r="A417" s="2" t="s">
        <v>1150</v>
      </c>
      <c r="B417" s="2" t="s">
        <v>198</v>
      </c>
      <c r="C417" s="2" t="s">
        <v>1151</v>
      </c>
      <c r="D417" s="4">
        <v>45952</v>
      </c>
      <c r="E417" s="2" t="s">
        <v>1152</v>
      </c>
      <c r="F417" s="2" t="s">
        <v>37</v>
      </c>
      <c r="G417" s="2" t="s">
        <v>114</v>
      </c>
      <c r="H417" s="2" t="s">
        <v>105</v>
      </c>
      <c r="I417" s="2" t="s">
        <v>64</v>
      </c>
    </row>
    <row r="418" spans="1:9" x14ac:dyDescent="0.2">
      <c r="A418" s="2" t="s">
        <v>1153</v>
      </c>
      <c r="B418" s="2" t="s">
        <v>272</v>
      </c>
      <c r="C418" s="2" t="s">
        <v>1151</v>
      </c>
      <c r="D418" s="4">
        <v>45922</v>
      </c>
      <c r="E418" s="2" t="s">
        <v>1154</v>
      </c>
      <c r="F418" s="2" t="s">
        <v>37</v>
      </c>
      <c r="G418" s="2" t="s">
        <v>312</v>
      </c>
      <c r="H418" s="2" t="s">
        <v>41</v>
      </c>
      <c r="I418" s="2" t="s">
        <v>17</v>
      </c>
    </row>
    <row r="419" spans="1:9" x14ac:dyDescent="0.2">
      <c r="A419" s="2" t="s">
        <v>1155</v>
      </c>
      <c r="B419" s="2" t="s">
        <v>19</v>
      </c>
      <c r="C419" s="2" t="s">
        <v>1156</v>
      </c>
      <c r="D419" s="4">
        <v>45953</v>
      </c>
      <c r="E419" s="2">
        <v>16797.689999999999</v>
      </c>
      <c r="F419" s="2" t="s">
        <v>37</v>
      </c>
      <c r="G419" s="2" t="s">
        <v>23</v>
      </c>
      <c r="H419" s="2" t="s">
        <v>16</v>
      </c>
    </row>
    <row r="420" spans="1:9" x14ac:dyDescent="0.2">
      <c r="A420" s="2" t="s">
        <v>1157</v>
      </c>
      <c r="B420" s="2" t="s">
        <v>84</v>
      </c>
      <c r="C420" s="4">
        <v>45908</v>
      </c>
      <c r="D420" s="2" t="s">
        <v>1158</v>
      </c>
      <c r="E420" s="2">
        <v>13999.42</v>
      </c>
      <c r="F420" s="2" t="s">
        <v>77</v>
      </c>
      <c r="G420" s="2" t="s">
        <v>67</v>
      </c>
      <c r="H420" s="2" t="s">
        <v>16</v>
      </c>
    </row>
    <row r="421" spans="1:9" x14ac:dyDescent="0.2">
      <c r="A421" s="2" t="s">
        <v>1159</v>
      </c>
      <c r="B421" s="2" t="s">
        <v>137</v>
      </c>
      <c r="C421" s="2" t="s">
        <v>1160</v>
      </c>
      <c r="D421" s="2" t="s">
        <v>1161</v>
      </c>
      <c r="E421" s="2" t="s">
        <v>1162</v>
      </c>
      <c r="F421" s="2" t="s">
        <v>37</v>
      </c>
      <c r="G421" s="2" t="s">
        <v>63</v>
      </c>
      <c r="H421" s="2" t="s">
        <v>16</v>
      </c>
    </row>
    <row r="422" spans="1:9" x14ac:dyDescent="0.2">
      <c r="A422" s="2" t="s">
        <v>1163</v>
      </c>
      <c r="B422" s="2" t="s">
        <v>107</v>
      </c>
      <c r="C422" s="4">
        <v>45909</v>
      </c>
      <c r="D422" s="2" t="s">
        <v>1164</v>
      </c>
      <c r="E422" s="2">
        <v>8210.32</v>
      </c>
      <c r="F422" s="2" t="s">
        <v>29</v>
      </c>
      <c r="H422" s="2" t="s">
        <v>105</v>
      </c>
      <c r="I422" s="2" t="s">
        <v>64</v>
      </c>
    </row>
    <row r="423" spans="1:9" x14ac:dyDescent="0.2">
      <c r="A423" s="2" t="s">
        <v>1165</v>
      </c>
      <c r="B423" s="2" t="s">
        <v>132</v>
      </c>
      <c r="C423" s="2" t="s">
        <v>1166</v>
      </c>
      <c r="D423" s="4">
        <v>45939</v>
      </c>
      <c r="E423" s="2" t="s">
        <v>1167</v>
      </c>
      <c r="F423" s="2" t="s">
        <v>22</v>
      </c>
      <c r="G423" s="2" t="s">
        <v>94</v>
      </c>
      <c r="H423" s="2" t="s">
        <v>16</v>
      </c>
      <c r="I423" s="2" t="s">
        <v>58</v>
      </c>
    </row>
    <row r="424" spans="1:9" x14ac:dyDescent="0.2">
      <c r="A424" s="2" t="s">
        <v>1008</v>
      </c>
      <c r="B424" s="2" t="s">
        <v>43</v>
      </c>
      <c r="C424" s="4">
        <v>45910</v>
      </c>
      <c r="D424" s="2" t="s">
        <v>1009</v>
      </c>
      <c r="E424" s="2" t="s">
        <v>1010</v>
      </c>
      <c r="F424" s="2" t="s">
        <v>37</v>
      </c>
      <c r="G424" s="2" t="s">
        <v>57</v>
      </c>
      <c r="H424" s="2" t="s">
        <v>16</v>
      </c>
      <c r="I424" s="2" t="s">
        <v>64</v>
      </c>
    </row>
    <row r="425" spans="1:9" x14ac:dyDescent="0.2">
      <c r="A425" s="2" t="s">
        <v>1168</v>
      </c>
      <c r="B425" s="2" t="s">
        <v>60</v>
      </c>
      <c r="C425" s="2" t="s">
        <v>1169</v>
      </c>
      <c r="D425" s="2" t="s">
        <v>1170</v>
      </c>
      <c r="E425" s="2" t="s">
        <v>1171</v>
      </c>
      <c r="F425" s="2" t="s">
        <v>37</v>
      </c>
      <c r="G425" s="2" t="s">
        <v>114</v>
      </c>
      <c r="H425" s="2" t="s">
        <v>105</v>
      </c>
    </row>
    <row r="426" spans="1:9" x14ac:dyDescent="0.2">
      <c r="A426" s="2" t="s">
        <v>1172</v>
      </c>
      <c r="B426" s="2" t="s">
        <v>137</v>
      </c>
      <c r="C426" s="4">
        <v>45913</v>
      </c>
      <c r="D426" s="4">
        <v>45958</v>
      </c>
      <c r="E426" s="2" t="s">
        <v>1173</v>
      </c>
      <c r="F426" s="2" t="s">
        <v>37</v>
      </c>
      <c r="G426" s="2" t="s">
        <v>67</v>
      </c>
      <c r="H426" s="2" t="s">
        <v>105</v>
      </c>
      <c r="I426" s="2" t="s">
        <v>64</v>
      </c>
    </row>
    <row r="427" spans="1:9" x14ac:dyDescent="0.2">
      <c r="A427" s="2" t="s">
        <v>1174</v>
      </c>
      <c r="B427" s="2" t="s">
        <v>107</v>
      </c>
      <c r="C427" s="2" t="s">
        <v>906</v>
      </c>
      <c r="D427" s="4">
        <v>45958</v>
      </c>
      <c r="E427" s="2">
        <v>13530.81</v>
      </c>
      <c r="F427" s="2" t="s">
        <v>37</v>
      </c>
      <c r="G427" s="2" t="s">
        <v>23</v>
      </c>
      <c r="H427" s="2" t="s">
        <v>31</v>
      </c>
      <c r="I427" s="2" t="s">
        <v>17</v>
      </c>
    </row>
    <row r="428" spans="1:9" x14ac:dyDescent="0.2">
      <c r="A428" s="2" t="s">
        <v>1175</v>
      </c>
      <c r="B428" s="2" t="s">
        <v>308</v>
      </c>
      <c r="C428" s="4">
        <v>45914</v>
      </c>
      <c r="D428" s="4">
        <v>45929</v>
      </c>
      <c r="E428" s="2">
        <v>3413.18</v>
      </c>
      <c r="F428" s="2" t="s">
        <v>37</v>
      </c>
      <c r="G428" s="2" t="s">
        <v>254</v>
      </c>
      <c r="H428" s="2" t="s">
        <v>41</v>
      </c>
    </row>
    <row r="429" spans="1:9" x14ac:dyDescent="0.2">
      <c r="A429" s="2" t="s">
        <v>1176</v>
      </c>
      <c r="B429" s="2" t="s">
        <v>84</v>
      </c>
      <c r="C429" s="4">
        <v>45915</v>
      </c>
      <c r="D429" s="2" t="s">
        <v>1177</v>
      </c>
      <c r="E429" s="2" t="s">
        <v>1178</v>
      </c>
      <c r="H429" s="2" t="s">
        <v>31</v>
      </c>
      <c r="I429" s="2" t="s">
        <v>64</v>
      </c>
    </row>
    <row r="430" spans="1:9" x14ac:dyDescent="0.2">
      <c r="A430" s="2" t="s">
        <v>1179</v>
      </c>
      <c r="B430" s="2" t="s">
        <v>157</v>
      </c>
      <c r="C430" s="2" t="s">
        <v>988</v>
      </c>
      <c r="D430" s="2" t="s">
        <v>1177</v>
      </c>
      <c r="E430" s="2">
        <v>24947.64</v>
      </c>
      <c r="F430" s="2" t="s">
        <v>29</v>
      </c>
      <c r="G430" s="2" t="s">
        <v>23</v>
      </c>
      <c r="H430" s="2" t="s">
        <v>16</v>
      </c>
      <c r="I430" s="2" t="s">
        <v>64</v>
      </c>
    </row>
    <row r="431" spans="1:9" x14ac:dyDescent="0.2">
      <c r="A431" s="2" t="s">
        <v>1180</v>
      </c>
      <c r="B431" s="2" t="s">
        <v>267</v>
      </c>
      <c r="C431" s="4">
        <v>45916</v>
      </c>
      <c r="D431" s="2" t="s">
        <v>1181</v>
      </c>
      <c r="E431" s="2" t="s">
        <v>1182</v>
      </c>
      <c r="F431" s="2" t="s">
        <v>37</v>
      </c>
      <c r="G431" s="2" t="s">
        <v>94</v>
      </c>
      <c r="H431" s="2" t="s">
        <v>41</v>
      </c>
      <c r="I431" s="2" t="s">
        <v>58</v>
      </c>
    </row>
    <row r="432" spans="1:9" x14ac:dyDescent="0.2">
      <c r="A432" s="2" t="s">
        <v>1183</v>
      </c>
      <c r="B432" s="2" t="s">
        <v>132</v>
      </c>
      <c r="C432" s="4">
        <v>45917</v>
      </c>
      <c r="D432" s="2" t="s">
        <v>1184</v>
      </c>
      <c r="E432" s="2" t="s">
        <v>1185</v>
      </c>
      <c r="F432" s="2" t="s">
        <v>37</v>
      </c>
      <c r="G432" s="2" t="s">
        <v>30</v>
      </c>
      <c r="H432" s="2" t="s">
        <v>105</v>
      </c>
      <c r="I432" s="2" t="s">
        <v>58</v>
      </c>
    </row>
    <row r="433" spans="1:9" x14ac:dyDescent="0.2">
      <c r="A433" s="2" t="s">
        <v>1186</v>
      </c>
      <c r="B433" s="2" t="s">
        <v>107</v>
      </c>
      <c r="C433" s="2" t="s">
        <v>1187</v>
      </c>
      <c r="D433" s="2" t="s">
        <v>1188</v>
      </c>
      <c r="E433" s="2" t="s">
        <v>1189</v>
      </c>
      <c r="F433" s="2" t="s">
        <v>37</v>
      </c>
      <c r="G433" s="2" t="s">
        <v>63</v>
      </c>
      <c r="H433" s="2" t="s">
        <v>16</v>
      </c>
      <c r="I433" s="2" t="s">
        <v>24</v>
      </c>
    </row>
    <row r="434" spans="1:9" x14ac:dyDescent="0.2">
      <c r="A434" s="2" t="s">
        <v>1190</v>
      </c>
      <c r="B434" s="2" t="s">
        <v>84</v>
      </c>
      <c r="C434" s="2" t="s">
        <v>1191</v>
      </c>
      <c r="D434" s="2" t="s">
        <v>1192</v>
      </c>
      <c r="E434" s="2" t="s">
        <v>1193</v>
      </c>
      <c r="F434" s="2" t="s">
        <v>37</v>
      </c>
      <c r="G434" s="2" t="s">
        <v>23</v>
      </c>
      <c r="H434" s="2" t="s">
        <v>16</v>
      </c>
      <c r="I434" s="2" t="s">
        <v>58</v>
      </c>
    </row>
    <row r="435" spans="1:9" x14ac:dyDescent="0.2">
      <c r="A435" s="2" t="s">
        <v>1194</v>
      </c>
      <c r="B435" s="2" t="s">
        <v>19</v>
      </c>
      <c r="C435" s="4">
        <v>45920</v>
      </c>
      <c r="D435" s="4">
        <v>45965</v>
      </c>
      <c r="E435" s="2" t="s">
        <v>1195</v>
      </c>
      <c r="F435" s="2" t="s">
        <v>29</v>
      </c>
      <c r="G435" s="2" t="s">
        <v>23</v>
      </c>
      <c r="H435" s="2" t="s">
        <v>105</v>
      </c>
    </row>
    <row r="436" spans="1:9" x14ac:dyDescent="0.2">
      <c r="A436" s="2" t="s">
        <v>1196</v>
      </c>
      <c r="B436" s="2" t="s">
        <v>198</v>
      </c>
      <c r="C436" s="4">
        <v>45920</v>
      </c>
      <c r="D436" s="4">
        <v>45965</v>
      </c>
      <c r="E436" s="2">
        <v>42109.599999999999</v>
      </c>
      <c r="F436" s="2" t="s">
        <v>22</v>
      </c>
      <c r="G436" s="2" t="s">
        <v>23</v>
      </c>
      <c r="H436" s="2" t="s">
        <v>105</v>
      </c>
    </row>
    <row r="437" spans="1:9" x14ac:dyDescent="0.2">
      <c r="A437" s="2" t="s">
        <v>1197</v>
      </c>
      <c r="B437" s="2" t="s">
        <v>141</v>
      </c>
      <c r="C437" s="2" t="s">
        <v>1198</v>
      </c>
      <c r="D437" s="2" t="s">
        <v>1199</v>
      </c>
      <c r="E437" s="2" t="s">
        <v>1200</v>
      </c>
      <c r="F437" s="2" t="s">
        <v>37</v>
      </c>
      <c r="G437" s="2" t="s">
        <v>23</v>
      </c>
      <c r="H437" s="2" t="s">
        <v>105</v>
      </c>
    </row>
    <row r="438" spans="1:9" x14ac:dyDescent="0.2">
      <c r="A438" s="2" t="s">
        <v>1201</v>
      </c>
      <c r="B438" s="2" t="s">
        <v>157</v>
      </c>
      <c r="C438" s="4">
        <v>45925</v>
      </c>
      <c r="D438" s="2" t="s">
        <v>1202</v>
      </c>
      <c r="E438" s="2" t="s">
        <v>1203</v>
      </c>
      <c r="F438" s="2" t="s">
        <v>37</v>
      </c>
      <c r="G438" s="2" t="s">
        <v>63</v>
      </c>
      <c r="H438" s="2" t="s">
        <v>304</v>
      </c>
      <c r="I438" s="2" t="s">
        <v>17</v>
      </c>
    </row>
    <row r="439" spans="1:9" x14ac:dyDescent="0.2">
      <c r="A439" s="2" t="s">
        <v>1204</v>
      </c>
      <c r="B439" s="2" t="s">
        <v>157</v>
      </c>
      <c r="C439" s="2" t="s">
        <v>1205</v>
      </c>
      <c r="D439" s="2" t="s">
        <v>1206</v>
      </c>
      <c r="E439" s="2" t="s">
        <v>1207</v>
      </c>
      <c r="F439" s="2" t="s">
        <v>37</v>
      </c>
      <c r="G439" s="2" t="s">
        <v>23</v>
      </c>
      <c r="H439" s="2" t="s">
        <v>41</v>
      </c>
      <c r="I439" s="2" t="s">
        <v>64</v>
      </c>
    </row>
    <row r="440" spans="1:9" x14ac:dyDescent="0.2">
      <c r="A440" s="2" t="s">
        <v>1208</v>
      </c>
      <c r="B440" s="2" t="s">
        <v>103</v>
      </c>
      <c r="C440" s="2" t="s">
        <v>1209</v>
      </c>
      <c r="D440" s="4">
        <v>45971</v>
      </c>
      <c r="E440" s="2">
        <v>25785.119999999999</v>
      </c>
      <c r="F440" s="2" t="s">
        <v>14</v>
      </c>
      <c r="G440" s="2" t="s">
        <v>114</v>
      </c>
      <c r="H440" s="2" t="s">
        <v>41</v>
      </c>
    </row>
    <row r="441" spans="1:9" x14ac:dyDescent="0.2">
      <c r="A441" s="2" t="s">
        <v>1210</v>
      </c>
      <c r="B441" s="2" t="s">
        <v>33</v>
      </c>
      <c r="C441" s="2" t="s">
        <v>1211</v>
      </c>
      <c r="D441" s="2" t="s">
        <v>1212</v>
      </c>
      <c r="E441" s="2">
        <v>35219.620000000003</v>
      </c>
      <c r="F441" s="2" t="s">
        <v>37</v>
      </c>
      <c r="G441" s="2" t="s">
        <v>63</v>
      </c>
      <c r="H441" s="2" t="s">
        <v>82</v>
      </c>
    </row>
    <row r="442" spans="1:9" x14ac:dyDescent="0.2">
      <c r="A442" s="2" t="s">
        <v>1213</v>
      </c>
      <c r="B442" s="2" t="s">
        <v>141</v>
      </c>
      <c r="C442" s="2" t="s">
        <v>1214</v>
      </c>
      <c r="D442" s="2" t="s">
        <v>1215</v>
      </c>
      <c r="E442" s="2" t="s">
        <v>1216</v>
      </c>
      <c r="F442" s="2" t="s">
        <v>630</v>
      </c>
      <c r="G442" s="2" t="s">
        <v>63</v>
      </c>
      <c r="H442" s="2" t="s">
        <v>31</v>
      </c>
      <c r="I442" s="2" t="s">
        <v>58</v>
      </c>
    </row>
    <row r="443" spans="1:9" x14ac:dyDescent="0.2">
      <c r="A443" s="2" t="s">
        <v>1217</v>
      </c>
      <c r="B443" s="2" t="s">
        <v>165</v>
      </c>
      <c r="C443" s="2" t="s">
        <v>1051</v>
      </c>
      <c r="D443" s="4">
        <v>45959</v>
      </c>
      <c r="E443" s="2" t="s">
        <v>1218</v>
      </c>
      <c r="F443" s="2" t="s">
        <v>22</v>
      </c>
      <c r="G443" s="2" t="s">
        <v>46</v>
      </c>
      <c r="H443" s="2" t="s">
        <v>16</v>
      </c>
    </row>
    <row r="444" spans="1:9" x14ac:dyDescent="0.2">
      <c r="A444" s="2" t="s">
        <v>665</v>
      </c>
      <c r="B444" s="2" t="s">
        <v>79</v>
      </c>
      <c r="C444" s="4">
        <v>45792</v>
      </c>
      <c r="D444" s="2" t="s">
        <v>666</v>
      </c>
      <c r="E444" s="2">
        <v>43984.87</v>
      </c>
      <c r="F444" s="2" t="s">
        <v>37</v>
      </c>
      <c r="G444" s="2" t="s">
        <v>63</v>
      </c>
      <c r="H444" s="2" t="s">
        <v>105</v>
      </c>
      <c r="I444" s="2" t="s">
        <v>58</v>
      </c>
    </row>
    <row r="445" spans="1:9" x14ac:dyDescent="0.2">
      <c r="A445" s="2" t="s">
        <v>1219</v>
      </c>
      <c r="B445" s="2" t="s">
        <v>165</v>
      </c>
      <c r="C445" s="2" t="s">
        <v>1220</v>
      </c>
      <c r="D445" s="2" t="s">
        <v>1177</v>
      </c>
      <c r="E445" s="2" t="s">
        <v>1221</v>
      </c>
      <c r="F445" s="2" t="s">
        <v>22</v>
      </c>
      <c r="G445" s="2" t="s">
        <v>210</v>
      </c>
      <c r="H445" s="2" t="s">
        <v>105</v>
      </c>
    </row>
    <row r="446" spans="1:9" x14ac:dyDescent="0.2">
      <c r="B446" s="2" t="s">
        <v>1222</v>
      </c>
      <c r="E446" s="2" t="s">
        <v>1223</v>
      </c>
    </row>
    <row r="447" spans="1:9" x14ac:dyDescent="0.2">
      <c r="A447" s="2" t="s">
        <v>1224</v>
      </c>
      <c r="B447" s="2" t="s">
        <v>137</v>
      </c>
      <c r="C447" s="4">
        <v>45930</v>
      </c>
      <c r="D447" s="4">
        <v>45975</v>
      </c>
      <c r="E447" s="2" t="s">
        <v>1225</v>
      </c>
      <c r="F447" s="2" t="s">
        <v>29</v>
      </c>
      <c r="G447" s="2" t="s">
        <v>67</v>
      </c>
      <c r="H447" s="2" t="s">
        <v>31</v>
      </c>
      <c r="I447" s="2" t="s">
        <v>58</v>
      </c>
    </row>
    <row r="448" spans="1:9" x14ac:dyDescent="0.2">
      <c r="A448" s="2" t="s">
        <v>1226</v>
      </c>
      <c r="B448" s="2" t="s">
        <v>79</v>
      </c>
      <c r="C448" s="2" t="s">
        <v>1061</v>
      </c>
      <c r="D448" s="2" t="s">
        <v>1227</v>
      </c>
      <c r="E448" s="2" t="s">
        <v>1228</v>
      </c>
      <c r="F448" s="2" t="s">
        <v>37</v>
      </c>
      <c r="G448" s="2" t="s">
        <v>114</v>
      </c>
      <c r="H448" s="2" t="s">
        <v>31</v>
      </c>
    </row>
    <row r="449" spans="1:9" x14ac:dyDescent="0.2">
      <c r="A449" s="2" t="s">
        <v>1229</v>
      </c>
      <c r="B449" s="2" t="s">
        <v>90</v>
      </c>
      <c r="C449" s="4">
        <v>45933</v>
      </c>
      <c r="D449" s="4">
        <v>45963</v>
      </c>
      <c r="E449" s="2" t="s">
        <v>1230</v>
      </c>
      <c r="F449" s="2" t="s">
        <v>22</v>
      </c>
      <c r="G449" s="2" t="s">
        <v>30</v>
      </c>
      <c r="H449" s="2" t="s">
        <v>16</v>
      </c>
      <c r="I449" s="2" t="s">
        <v>17</v>
      </c>
    </row>
    <row r="450" spans="1:9" x14ac:dyDescent="0.2">
      <c r="A450" s="2" t="s">
        <v>1231</v>
      </c>
      <c r="B450" s="2" t="s">
        <v>107</v>
      </c>
      <c r="C450" s="4">
        <v>45933</v>
      </c>
      <c r="D450" s="2" t="s">
        <v>1232</v>
      </c>
      <c r="E450" s="2" t="s">
        <v>1233</v>
      </c>
      <c r="F450" s="2" t="s">
        <v>37</v>
      </c>
      <c r="G450" s="2" t="s">
        <v>63</v>
      </c>
      <c r="H450" s="2" t="s">
        <v>41</v>
      </c>
      <c r="I450" s="2" t="s">
        <v>17</v>
      </c>
    </row>
    <row r="451" spans="1:9" x14ac:dyDescent="0.2">
      <c r="A451" s="2" t="s">
        <v>1234</v>
      </c>
      <c r="B451" s="2" t="s">
        <v>137</v>
      </c>
      <c r="C451" s="4">
        <v>45997</v>
      </c>
      <c r="D451" s="4">
        <v>46042</v>
      </c>
      <c r="E451" s="2" t="s">
        <v>1235</v>
      </c>
      <c r="F451" s="2" t="s">
        <v>37</v>
      </c>
      <c r="G451" s="2" t="s">
        <v>114</v>
      </c>
      <c r="H451" s="2" t="s">
        <v>1236</v>
      </c>
      <c r="I451" s="2" t="s">
        <v>17</v>
      </c>
    </row>
    <row r="452" spans="1:9" x14ac:dyDescent="0.2">
      <c r="A452" s="2" t="s">
        <v>1237</v>
      </c>
      <c r="B452" s="2" t="s">
        <v>107</v>
      </c>
      <c r="C452" s="2" t="s">
        <v>1238</v>
      </c>
      <c r="D452" s="4">
        <v>45978</v>
      </c>
      <c r="E452" s="2" t="s">
        <v>1239</v>
      </c>
      <c r="F452" s="2" t="s">
        <v>37</v>
      </c>
      <c r="G452" s="2" t="s">
        <v>114</v>
      </c>
      <c r="H452" s="2" t="s">
        <v>31</v>
      </c>
      <c r="I452" s="2" t="s">
        <v>58</v>
      </c>
    </row>
    <row r="453" spans="1:9" x14ac:dyDescent="0.2">
      <c r="A453" s="2" t="s">
        <v>1240</v>
      </c>
      <c r="B453" s="2" t="s">
        <v>198</v>
      </c>
      <c r="C453" s="4">
        <v>45934</v>
      </c>
      <c r="D453" s="2" t="s">
        <v>1241</v>
      </c>
      <c r="E453" s="2" t="s">
        <v>1242</v>
      </c>
      <c r="F453" s="2" t="s">
        <v>14</v>
      </c>
      <c r="G453" s="2" t="s">
        <v>63</v>
      </c>
      <c r="H453" s="2" t="s">
        <v>105</v>
      </c>
      <c r="I453" s="2" t="s">
        <v>64</v>
      </c>
    </row>
    <row r="454" spans="1:9" x14ac:dyDescent="0.2">
      <c r="A454" s="2" t="s">
        <v>1243</v>
      </c>
      <c r="B454" s="2" t="s">
        <v>79</v>
      </c>
      <c r="C454" s="4">
        <v>45936</v>
      </c>
      <c r="D454" s="4">
        <v>45981</v>
      </c>
      <c r="E454" s="2" t="s">
        <v>1244</v>
      </c>
      <c r="F454" s="2" t="s">
        <v>22</v>
      </c>
      <c r="G454" s="2" t="s">
        <v>63</v>
      </c>
      <c r="H454" s="2" t="s">
        <v>124</v>
      </c>
      <c r="I454" s="2" t="s">
        <v>24</v>
      </c>
    </row>
    <row r="455" spans="1:9" x14ac:dyDescent="0.2">
      <c r="A455" s="2" t="s">
        <v>1245</v>
      </c>
      <c r="B455" s="2" t="s">
        <v>141</v>
      </c>
      <c r="C455" s="2" t="s">
        <v>658</v>
      </c>
      <c r="D455" s="4">
        <v>45981</v>
      </c>
      <c r="E455" s="2" t="s">
        <v>1246</v>
      </c>
      <c r="F455" s="2" t="s">
        <v>37</v>
      </c>
      <c r="G455" s="2" t="s">
        <v>67</v>
      </c>
      <c r="H455" s="2" t="s">
        <v>105</v>
      </c>
    </row>
    <row r="456" spans="1:9" x14ac:dyDescent="0.2">
      <c r="A456" s="2" t="s">
        <v>1247</v>
      </c>
      <c r="B456" s="2" t="s">
        <v>398</v>
      </c>
      <c r="C456" s="2" t="s">
        <v>1248</v>
      </c>
      <c r="D456" s="2" t="s">
        <v>1249</v>
      </c>
      <c r="E456" s="2" t="s">
        <v>1250</v>
      </c>
      <c r="F456" s="2" t="s">
        <v>37</v>
      </c>
      <c r="G456" s="2" t="s">
        <v>155</v>
      </c>
      <c r="H456" s="2" t="s">
        <v>41</v>
      </c>
    </row>
    <row r="457" spans="1:9" x14ac:dyDescent="0.2">
      <c r="A457" s="2" t="s">
        <v>1251</v>
      </c>
      <c r="B457" s="2" t="s">
        <v>33</v>
      </c>
      <c r="C457" s="4">
        <v>45937</v>
      </c>
      <c r="D457" s="4">
        <v>45982</v>
      </c>
      <c r="E457" s="2">
        <v>16635.37</v>
      </c>
      <c r="F457" s="2" t="s">
        <v>29</v>
      </c>
      <c r="G457" s="2" t="s">
        <v>114</v>
      </c>
      <c r="H457" s="2" t="s">
        <v>105</v>
      </c>
    </row>
    <row r="458" spans="1:9" x14ac:dyDescent="0.2">
      <c r="A458" s="2" t="s">
        <v>1252</v>
      </c>
      <c r="B458" s="2" t="s">
        <v>107</v>
      </c>
      <c r="C458" s="4">
        <v>45938</v>
      </c>
      <c r="D458" s="4">
        <v>45983</v>
      </c>
      <c r="E458" s="2" t="s">
        <v>1253</v>
      </c>
      <c r="F458" s="2" t="s">
        <v>37</v>
      </c>
      <c r="G458" s="2" t="s">
        <v>63</v>
      </c>
      <c r="H458" s="2" t="s">
        <v>41</v>
      </c>
      <c r="I458" s="2" t="s">
        <v>17</v>
      </c>
    </row>
    <row r="459" spans="1:9" x14ac:dyDescent="0.2">
      <c r="A459" s="2" t="s">
        <v>1254</v>
      </c>
      <c r="B459" s="2" t="s">
        <v>198</v>
      </c>
      <c r="C459" s="2" t="s">
        <v>1255</v>
      </c>
      <c r="D459" s="2" t="s">
        <v>1256</v>
      </c>
      <c r="E459" s="2" t="s">
        <v>1257</v>
      </c>
      <c r="F459" s="2" t="s">
        <v>14</v>
      </c>
      <c r="G459" s="2" t="s">
        <v>67</v>
      </c>
      <c r="H459" s="2" t="s">
        <v>31</v>
      </c>
      <c r="I459" s="2" t="s">
        <v>64</v>
      </c>
    </row>
    <row r="461" spans="1:9" x14ac:dyDescent="0.2">
      <c r="A461" s="2" t="s">
        <v>1258</v>
      </c>
      <c r="B461" s="2" t="s">
        <v>198</v>
      </c>
      <c r="C461" s="2" t="s">
        <v>1089</v>
      </c>
      <c r="D461" s="2" t="s">
        <v>1259</v>
      </c>
      <c r="E461" s="2" t="s">
        <v>1260</v>
      </c>
      <c r="G461" s="2" t="s">
        <v>114</v>
      </c>
      <c r="H461" s="2" t="s">
        <v>105</v>
      </c>
    </row>
    <row r="462" spans="1:9" x14ac:dyDescent="0.2">
      <c r="A462" s="2" t="s">
        <v>1261</v>
      </c>
      <c r="B462" s="2" t="s">
        <v>165</v>
      </c>
      <c r="C462" s="2" t="s">
        <v>1255</v>
      </c>
      <c r="D462" s="2" t="s">
        <v>1262</v>
      </c>
      <c r="E462" s="2">
        <v>6973.76</v>
      </c>
      <c r="G462" s="2" t="s">
        <v>169</v>
      </c>
      <c r="H462" s="2" t="s">
        <v>16</v>
      </c>
    </row>
    <row r="463" spans="1:9" x14ac:dyDescent="0.2">
      <c r="A463" s="2" t="s">
        <v>1263</v>
      </c>
      <c r="B463" s="2" t="s">
        <v>781</v>
      </c>
      <c r="C463" s="2" t="s">
        <v>1264</v>
      </c>
      <c r="D463" s="2" t="s">
        <v>1265</v>
      </c>
      <c r="E463" s="2">
        <v>912.53</v>
      </c>
      <c r="F463" s="2" t="s">
        <v>37</v>
      </c>
      <c r="H463" s="2" t="s">
        <v>31</v>
      </c>
      <c r="I463" s="2" t="s">
        <v>58</v>
      </c>
    </row>
    <row r="464" spans="1:9" x14ac:dyDescent="0.2">
      <c r="A464" s="2" t="s">
        <v>1266</v>
      </c>
      <c r="B464" s="2" t="s">
        <v>84</v>
      </c>
      <c r="C464" s="2" t="s">
        <v>1097</v>
      </c>
      <c r="D464" s="2" t="s">
        <v>1267</v>
      </c>
      <c r="E464" s="2">
        <v>12767</v>
      </c>
      <c r="F464" s="2" t="s">
        <v>419</v>
      </c>
      <c r="G464" s="2" t="s">
        <v>114</v>
      </c>
      <c r="H464" s="2" t="s">
        <v>304</v>
      </c>
      <c r="I464" s="2" t="s">
        <v>24</v>
      </c>
    </row>
    <row r="465" spans="1:9" x14ac:dyDescent="0.2">
      <c r="A465" s="2" t="s">
        <v>1268</v>
      </c>
      <c r="B465" s="2" t="s">
        <v>90</v>
      </c>
      <c r="C465" s="2" t="s">
        <v>1269</v>
      </c>
      <c r="D465" s="2" t="s">
        <v>1270</v>
      </c>
      <c r="E465" s="2" t="s">
        <v>1271</v>
      </c>
      <c r="F465" s="2" t="s">
        <v>37</v>
      </c>
      <c r="G465" s="2" t="s">
        <v>249</v>
      </c>
      <c r="H465" s="2" t="s">
        <v>16</v>
      </c>
    </row>
    <row r="466" spans="1:9" x14ac:dyDescent="0.2">
      <c r="A466" s="2" t="s">
        <v>1272</v>
      </c>
      <c r="B466" s="2" t="s">
        <v>107</v>
      </c>
      <c r="C466" s="2" t="s">
        <v>1273</v>
      </c>
      <c r="D466" s="4">
        <v>45986</v>
      </c>
      <c r="E466" s="2">
        <v>14777.19</v>
      </c>
      <c r="F466" s="2" t="s">
        <v>14</v>
      </c>
      <c r="G466" s="2" t="s">
        <v>114</v>
      </c>
      <c r="H466" s="2" t="s">
        <v>31</v>
      </c>
      <c r="I466" s="2" t="s">
        <v>64</v>
      </c>
    </row>
    <row r="467" spans="1:9" x14ac:dyDescent="0.2">
      <c r="A467" s="2" t="s">
        <v>1274</v>
      </c>
      <c r="B467" s="2" t="s">
        <v>33</v>
      </c>
      <c r="C467" s="2" t="s">
        <v>1275</v>
      </c>
      <c r="D467" s="4">
        <v>45987</v>
      </c>
      <c r="E467" s="2">
        <v>6717.23</v>
      </c>
      <c r="F467" s="2" t="s">
        <v>37</v>
      </c>
      <c r="H467" s="2" t="s">
        <v>41</v>
      </c>
    </row>
    <row r="468" spans="1:9" x14ac:dyDescent="0.2">
      <c r="A468" s="2" t="s">
        <v>1276</v>
      </c>
      <c r="B468" s="2" t="s">
        <v>26</v>
      </c>
      <c r="C468" s="2" t="s">
        <v>1277</v>
      </c>
      <c r="D468" s="2" t="s">
        <v>1212</v>
      </c>
      <c r="E468" s="2">
        <v>11729.02</v>
      </c>
      <c r="F468" s="2" t="s">
        <v>22</v>
      </c>
      <c r="H468" s="2" t="s">
        <v>105</v>
      </c>
    </row>
    <row r="469" spans="1:9" x14ac:dyDescent="0.2">
      <c r="A469" s="2" t="s">
        <v>1278</v>
      </c>
      <c r="B469" s="2" t="s">
        <v>157</v>
      </c>
      <c r="C469" s="2" t="s">
        <v>1279</v>
      </c>
      <c r="D469" s="2" t="s">
        <v>1280</v>
      </c>
      <c r="E469" s="2" t="s">
        <v>1281</v>
      </c>
      <c r="F469" s="2" t="s">
        <v>37</v>
      </c>
      <c r="G469" s="2" t="s">
        <v>67</v>
      </c>
      <c r="H469" s="2" t="s">
        <v>31</v>
      </c>
      <c r="I469" s="2" t="s">
        <v>17</v>
      </c>
    </row>
    <row r="470" spans="1:9" x14ac:dyDescent="0.2">
      <c r="A470" s="2" t="s">
        <v>1282</v>
      </c>
      <c r="B470" s="2" t="s">
        <v>84</v>
      </c>
      <c r="C470" s="2" t="s">
        <v>1283</v>
      </c>
      <c r="D470" s="2" t="s">
        <v>1284</v>
      </c>
      <c r="E470" s="2">
        <v>6500.19</v>
      </c>
      <c r="F470" s="2" t="s">
        <v>37</v>
      </c>
      <c r="G470" s="2" t="s">
        <v>63</v>
      </c>
      <c r="H470" s="2" t="s">
        <v>31</v>
      </c>
      <c r="I470" s="2" t="s">
        <v>64</v>
      </c>
    </row>
    <row r="471" spans="1:9" x14ac:dyDescent="0.2">
      <c r="A471" s="2" t="s">
        <v>1285</v>
      </c>
      <c r="B471" s="2" t="s">
        <v>79</v>
      </c>
      <c r="C471" s="4">
        <v>45944</v>
      </c>
      <c r="D471" s="4">
        <v>45989</v>
      </c>
      <c r="E471" s="2" t="s">
        <v>1286</v>
      </c>
      <c r="F471" s="2" t="s">
        <v>37</v>
      </c>
      <c r="G471" s="2" t="s">
        <v>114</v>
      </c>
      <c r="H471" s="2" t="s">
        <v>105</v>
      </c>
    </row>
    <row r="472" spans="1:9" x14ac:dyDescent="0.2">
      <c r="A472" s="2" t="s">
        <v>1287</v>
      </c>
      <c r="B472" s="2" t="s">
        <v>39</v>
      </c>
      <c r="C472" s="4">
        <v>45944</v>
      </c>
      <c r="D472" s="4">
        <v>45974</v>
      </c>
      <c r="E472" s="2">
        <v>4767.3900000000003</v>
      </c>
      <c r="F472" s="2" t="s">
        <v>37</v>
      </c>
      <c r="G472" s="2" t="s">
        <v>46</v>
      </c>
      <c r="H472" s="2" t="s">
        <v>31</v>
      </c>
      <c r="I472" s="2" t="s">
        <v>64</v>
      </c>
    </row>
    <row r="473" spans="1:9" x14ac:dyDescent="0.2">
      <c r="A473" s="2" t="s">
        <v>1288</v>
      </c>
      <c r="B473" s="2" t="s">
        <v>308</v>
      </c>
      <c r="C473" s="4">
        <v>45945</v>
      </c>
      <c r="D473" s="4">
        <v>45960</v>
      </c>
      <c r="E473" s="2" t="s">
        <v>1289</v>
      </c>
      <c r="F473" s="2" t="s">
        <v>37</v>
      </c>
      <c r="G473" s="2" t="s">
        <v>312</v>
      </c>
      <c r="H473" s="2" t="s">
        <v>16</v>
      </c>
    </row>
    <row r="474" spans="1:9" x14ac:dyDescent="0.2">
      <c r="A474" s="2" t="s">
        <v>1290</v>
      </c>
      <c r="B474" s="2" t="s">
        <v>157</v>
      </c>
      <c r="C474" s="2" t="s">
        <v>1125</v>
      </c>
      <c r="D474" s="2" t="s">
        <v>1291</v>
      </c>
      <c r="E474" s="2" t="s">
        <v>1292</v>
      </c>
      <c r="F474" s="2" t="s">
        <v>37</v>
      </c>
      <c r="G474" s="2" t="s">
        <v>63</v>
      </c>
      <c r="H474" s="2" t="s">
        <v>41</v>
      </c>
    </row>
    <row r="475" spans="1:9" x14ac:dyDescent="0.2">
      <c r="A475" s="2" t="s">
        <v>1293</v>
      </c>
      <c r="B475" s="2" t="s">
        <v>614</v>
      </c>
      <c r="C475" s="4">
        <v>45946</v>
      </c>
      <c r="D475" s="2" t="s">
        <v>1294</v>
      </c>
      <c r="E475" s="2" t="s">
        <v>1295</v>
      </c>
      <c r="F475" s="2" t="s">
        <v>29</v>
      </c>
      <c r="G475" s="2" t="s">
        <v>15</v>
      </c>
      <c r="H475" s="2" t="s">
        <v>31</v>
      </c>
    </row>
    <row r="476" spans="1:9" x14ac:dyDescent="0.2">
      <c r="A476" s="2" t="s">
        <v>1296</v>
      </c>
      <c r="B476" s="2" t="s">
        <v>39</v>
      </c>
      <c r="C476" s="4">
        <v>45946</v>
      </c>
      <c r="D476" s="2" t="s">
        <v>1297</v>
      </c>
      <c r="E476" s="2" t="s">
        <v>1298</v>
      </c>
      <c r="F476" s="2" t="s">
        <v>22</v>
      </c>
      <c r="G476" s="2" t="s">
        <v>57</v>
      </c>
      <c r="H476" s="2" t="s">
        <v>31</v>
      </c>
    </row>
    <row r="477" spans="1:9" x14ac:dyDescent="0.2">
      <c r="A477" s="2" t="s">
        <v>1299</v>
      </c>
      <c r="B477" s="2" t="s">
        <v>48</v>
      </c>
      <c r="C477" s="2" t="s">
        <v>1300</v>
      </c>
      <c r="D477" s="2" t="s">
        <v>1301</v>
      </c>
      <c r="E477" s="2" t="s">
        <v>1302</v>
      </c>
      <c r="F477" s="2" t="s">
        <v>37</v>
      </c>
      <c r="G477" s="2" t="s">
        <v>46</v>
      </c>
      <c r="H477" s="2" t="s">
        <v>105</v>
      </c>
    </row>
    <row r="478" spans="1:9" x14ac:dyDescent="0.2">
      <c r="A478" s="2" t="s">
        <v>1303</v>
      </c>
      <c r="B478" s="2" t="s">
        <v>43</v>
      </c>
      <c r="C478" s="4">
        <v>45947</v>
      </c>
      <c r="D478" s="2" t="s">
        <v>1304</v>
      </c>
      <c r="E478" s="2">
        <v>4475.08</v>
      </c>
      <c r="F478" s="2" t="s">
        <v>22</v>
      </c>
      <c r="G478" s="2" t="s">
        <v>210</v>
      </c>
      <c r="H478" s="2" t="s">
        <v>105</v>
      </c>
    </row>
    <row r="479" spans="1:9" x14ac:dyDescent="0.2">
      <c r="A479" s="2" t="s">
        <v>1305</v>
      </c>
      <c r="B479" s="2" t="s">
        <v>198</v>
      </c>
      <c r="C479" s="2" t="s">
        <v>1306</v>
      </c>
      <c r="D479" s="4">
        <v>45993</v>
      </c>
      <c r="E479" s="2" t="s">
        <v>1307</v>
      </c>
      <c r="G479" s="2" t="s">
        <v>114</v>
      </c>
      <c r="H479" s="2" t="s">
        <v>31</v>
      </c>
      <c r="I479" s="2" t="s">
        <v>64</v>
      </c>
    </row>
    <row r="480" spans="1:9" x14ac:dyDescent="0.2">
      <c r="A480" s="2" t="s">
        <v>1308</v>
      </c>
      <c r="B480" s="2" t="s">
        <v>48</v>
      </c>
      <c r="C480" s="4">
        <v>45949</v>
      </c>
      <c r="D480" s="4">
        <v>45979</v>
      </c>
      <c r="E480" s="2" t="s">
        <v>1309</v>
      </c>
      <c r="F480" s="2" t="s">
        <v>14</v>
      </c>
      <c r="H480" s="2" t="s">
        <v>105</v>
      </c>
    </row>
    <row r="481" spans="1:9" x14ac:dyDescent="0.2">
      <c r="A481" s="2" t="s">
        <v>1310</v>
      </c>
      <c r="B481" s="2" t="s">
        <v>1311</v>
      </c>
      <c r="C481" s="2" t="s">
        <v>1142</v>
      </c>
      <c r="D481" s="2" t="s">
        <v>1143</v>
      </c>
      <c r="E481" s="2">
        <v>1301.43</v>
      </c>
      <c r="F481" s="2" t="s">
        <v>37</v>
      </c>
      <c r="G481" s="2" t="s">
        <v>15</v>
      </c>
      <c r="H481" s="2" t="s">
        <v>31</v>
      </c>
    </row>
    <row r="482" spans="1:9" x14ac:dyDescent="0.2">
      <c r="A482" s="2" t="s">
        <v>1312</v>
      </c>
      <c r="B482" s="2" t="s">
        <v>132</v>
      </c>
      <c r="C482" s="4">
        <v>45950</v>
      </c>
      <c r="D482" s="4">
        <v>45980</v>
      </c>
      <c r="E482" s="2" t="s">
        <v>1313</v>
      </c>
      <c r="G482" s="2" t="s">
        <v>94</v>
      </c>
      <c r="H482" s="2" t="s">
        <v>16</v>
      </c>
    </row>
    <row r="483" spans="1:9" x14ac:dyDescent="0.2">
      <c r="A483" s="2" t="s">
        <v>1314</v>
      </c>
      <c r="B483" s="2" t="s">
        <v>132</v>
      </c>
      <c r="C483" s="2" t="s">
        <v>1146</v>
      </c>
      <c r="D483" s="2" t="s">
        <v>1315</v>
      </c>
      <c r="E483" s="2">
        <v>5928.97</v>
      </c>
      <c r="F483" s="2" t="s">
        <v>37</v>
      </c>
      <c r="G483" s="2" t="s">
        <v>94</v>
      </c>
      <c r="H483" s="2" t="s">
        <v>41</v>
      </c>
      <c r="I483" s="2" t="s">
        <v>17</v>
      </c>
    </row>
    <row r="484" spans="1:9" x14ac:dyDescent="0.2">
      <c r="A484" s="2" t="s">
        <v>1316</v>
      </c>
      <c r="B484" s="2" t="s">
        <v>84</v>
      </c>
      <c r="C484" s="4">
        <v>45951</v>
      </c>
      <c r="D484" s="4">
        <v>45996</v>
      </c>
      <c r="E484" s="2" t="s">
        <v>1317</v>
      </c>
      <c r="F484" s="2" t="s">
        <v>37</v>
      </c>
      <c r="G484" s="2" t="s">
        <v>23</v>
      </c>
      <c r="H484" s="2" t="s">
        <v>31</v>
      </c>
      <c r="I484" s="2" t="s">
        <v>64</v>
      </c>
    </row>
    <row r="485" spans="1:9" x14ac:dyDescent="0.2">
      <c r="A485" s="2" t="s">
        <v>1318</v>
      </c>
      <c r="B485" s="2" t="s">
        <v>118</v>
      </c>
      <c r="C485" s="2" t="s">
        <v>1319</v>
      </c>
      <c r="D485" s="2" t="s">
        <v>1320</v>
      </c>
      <c r="E485" s="2" t="s">
        <v>1321</v>
      </c>
      <c r="F485" s="2" t="s">
        <v>37</v>
      </c>
      <c r="G485" s="2" t="s">
        <v>822</v>
      </c>
      <c r="H485" s="2" t="s">
        <v>16</v>
      </c>
    </row>
    <row r="486" spans="1:9" x14ac:dyDescent="0.2">
      <c r="A486" s="2" t="s">
        <v>1322</v>
      </c>
      <c r="B486" s="2" t="s">
        <v>116</v>
      </c>
      <c r="C486" s="2" t="s">
        <v>1319</v>
      </c>
      <c r="D486" s="2" t="s">
        <v>1323</v>
      </c>
      <c r="E486" s="2" t="s">
        <v>1324</v>
      </c>
      <c r="F486" s="2" t="s">
        <v>37</v>
      </c>
      <c r="G486" s="2" t="s">
        <v>63</v>
      </c>
      <c r="H486" s="2" t="s">
        <v>82</v>
      </c>
      <c r="I486" s="2" t="s">
        <v>64</v>
      </c>
    </row>
    <row r="487" spans="1:9" x14ac:dyDescent="0.2">
      <c r="A487" s="2" t="s">
        <v>1325</v>
      </c>
      <c r="B487" s="2" t="s">
        <v>107</v>
      </c>
      <c r="C487" s="2" t="s">
        <v>1326</v>
      </c>
      <c r="D487" s="2" t="s">
        <v>1327</v>
      </c>
      <c r="E487" s="2">
        <v>-695.81</v>
      </c>
      <c r="F487" s="2" t="s">
        <v>22</v>
      </c>
      <c r="G487" s="2" t="s">
        <v>114</v>
      </c>
      <c r="H487" s="2" t="s">
        <v>41</v>
      </c>
      <c r="I487" s="2" t="s">
        <v>64</v>
      </c>
    </row>
    <row r="488" spans="1:9" x14ac:dyDescent="0.2">
      <c r="A488" s="2" t="s">
        <v>702</v>
      </c>
      <c r="B488" s="2" t="s">
        <v>103</v>
      </c>
      <c r="C488" s="4">
        <v>45802</v>
      </c>
      <c r="D488" s="2" t="s">
        <v>703</v>
      </c>
      <c r="E488" s="2">
        <v>6129.95</v>
      </c>
      <c r="F488" s="2" t="s">
        <v>37</v>
      </c>
      <c r="G488" s="2" t="s">
        <v>63</v>
      </c>
      <c r="H488" s="2" t="s">
        <v>41</v>
      </c>
      <c r="I488" s="2" t="s">
        <v>64</v>
      </c>
    </row>
    <row r="489" spans="1:9" x14ac:dyDescent="0.2">
      <c r="A489" s="2" t="s">
        <v>1328</v>
      </c>
      <c r="B489" s="2" t="s">
        <v>116</v>
      </c>
      <c r="C489" s="2" t="s">
        <v>1329</v>
      </c>
      <c r="D489" s="2" t="s">
        <v>445</v>
      </c>
      <c r="E489" s="2" t="s">
        <v>1330</v>
      </c>
      <c r="F489" s="2" t="s">
        <v>37</v>
      </c>
      <c r="H489" s="2" t="s">
        <v>16</v>
      </c>
      <c r="I489" s="2" t="s">
        <v>24</v>
      </c>
    </row>
    <row r="491" spans="1:9" x14ac:dyDescent="0.2">
      <c r="A491" s="2" t="s">
        <v>1331</v>
      </c>
      <c r="B491" s="2" t="s">
        <v>107</v>
      </c>
      <c r="C491" s="2" t="s">
        <v>1332</v>
      </c>
      <c r="D491" s="2" t="s">
        <v>1333</v>
      </c>
      <c r="E491" s="2" t="s">
        <v>1334</v>
      </c>
      <c r="F491" s="2" t="s">
        <v>37</v>
      </c>
      <c r="G491" s="2" t="s">
        <v>114</v>
      </c>
      <c r="H491" s="2" t="s">
        <v>31</v>
      </c>
    </row>
    <row r="492" spans="1:9" x14ac:dyDescent="0.2">
      <c r="A492" s="2" t="s">
        <v>1335</v>
      </c>
      <c r="B492" s="2" t="s">
        <v>103</v>
      </c>
      <c r="C492" s="2" t="s">
        <v>1336</v>
      </c>
      <c r="D492" s="2" t="s">
        <v>1337</v>
      </c>
      <c r="E492" s="2">
        <v>18373.05</v>
      </c>
      <c r="F492" s="2" t="s">
        <v>14</v>
      </c>
      <c r="G492" s="2" t="s">
        <v>23</v>
      </c>
      <c r="H492" s="2" t="s">
        <v>41</v>
      </c>
      <c r="I492" s="2" t="s">
        <v>64</v>
      </c>
    </row>
    <row r="493" spans="1:9" x14ac:dyDescent="0.2">
      <c r="A493" s="2" t="s">
        <v>65</v>
      </c>
      <c r="B493" s="2" t="s">
        <v>60</v>
      </c>
      <c r="C493" s="4">
        <v>45665</v>
      </c>
      <c r="D493" s="4">
        <v>45710</v>
      </c>
      <c r="E493" s="2" t="s">
        <v>66</v>
      </c>
      <c r="F493" s="2" t="s">
        <v>37</v>
      </c>
      <c r="G493" s="2" t="s">
        <v>67</v>
      </c>
      <c r="H493" s="2" t="s">
        <v>68</v>
      </c>
    </row>
    <row r="495" spans="1:9" x14ac:dyDescent="0.2">
      <c r="A495" s="2" t="s">
        <v>1338</v>
      </c>
      <c r="B495" s="2" t="s">
        <v>84</v>
      </c>
      <c r="C495" s="2" t="s">
        <v>1339</v>
      </c>
      <c r="D495" s="4">
        <v>46002</v>
      </c>
      <c r="E495" s="2" t="s">
        <v>1340</v>
      </c>
      <c r="F495" s="2" t="s">
        <v>37</v>
      </c>
      <c r="G495" s="2" t="s">
        <v>63</v>
      </c>
      <c r="H495" s="2" t="s">
        <v>16</v>
      </c>
      <c r="I495" s="2" t="s">
        <v>58</v>
      </c>
    </row>
    <row r="496" spans="1:9" x14ac:dyDescent="0.2">
      <c r="A496" s="2" t="s">
        <v>1341</v>
      </c>
      <c r="B496" s="2" t="s">
        <v>107</v>
      </c>
      <c r="C496" s="4">
        <v>45958</v>
      </c>
      <c r="D496" s="2" t="s">
        <v>1342</v>
      </c>
      <c r="E496" s="2" t="s">
        <v>1343</v>
      </c>
      <c r="G496" s="2" t="s">
        <v>67</v>
      </c>
      <c r="H496" s="2" t="s">
        <v>304</v>
      </c>
    </row>
    <row r="497" spans="1:9" x14ac:dyDescent="0.2">
      <c r="A497" s="2" t="s">
        <v>1344</v>
      </c>
      <c r="B497" s="2" t="s">
        <v>157</v>
      </c>
      <c r="C497" s="2" t="s">
        <v>1345</v>
      </c>
      <c r="D497" s="4">
        <v>46027</v>
      </c>
      <c r="E497" s="2" t="s">
        <v>1346</v>
      </c>
      <c r="F497" s="2" t="s">
        <v>29</v>
      </c>
      <c r="H497" s="2" t="s">
        <v>1236</v>
      </c>
    </row>
    <row r="498" spans="1:9" x14ac:dyDescent="0.2">
      <c r="A498" s="2" t="s">
        <v>1347</v>
      </c>
      <c r="B498" s="2" t="s">
        <v>107</v>
      </c>
      <c r="C498" s="4">
        <v>45962</v>
      </c>
      <c r="D498" s="2" t="s">
        <v>1348</v>
      </c>
      <c r="E498" s="2">
        <v>32406.58</v>
      </c>
      <c r="F498" s="2" t="s">
        <v>37</v>
      </c>
      <c r="G498" s="2" t="s">
        <v>63</v>
      </c>
      <c r="H498" s="2" t="s">
        <v>124</v>
      </c>
    </row>
    <row r="499" spans="1:9" x14ac:dyDescent="0.2">
      <c r="A499" s="2" t="s">
        <v>1349</v>
      </c>
      <c r="B499" s="2" t="s">
        <v>84</v>
      </c>
      <c r="C499" s="4">
        <v>45963</v>
      </c>
      <c r="D499" s="2" t="s">
        <v>1350</v>
      </c>
      <c r="E499" s="2">
        <v>10244.09</v>
      </c>
      <c r="F499" s="2" t="s">
        <v>29</v>
      </c>
      <c r="G499" s="2" t="s">
        <v>67</v>
      </c>
      <c r="H499" s="2" t="s">
        <v>31</v>
      </c>
    </row>
    <row r="500" spans="1:9" x14ac:dyDescent="0.2">
      <c r="A500" s="2" t="s">
        <v>1351</v>
      </c>
      <c r="B500" s="2" t="s">
        <v>165</v>
      </c>
      <c r="C500" s="2" t="s">
        <v>1352</v>
      </c>
      <c r="D500" s="2" t="s">
        <v>1353</v>
      </c>
      <c r="E500" s="2">
        <v>909.33</v>
      </c>
      <c r="F500" s="2" t="s">
        <v>37</v>
      </c>
      <c r="G500" s="2" t="s">
        <v>46</v>
      </c>
      <c r="H500" s="2" t="s">
        <v>124</v>
      </c>
    </row>
    <row r="501" spans="1:9" x14ac:dyDescent="0.2">
      <c r="A501" s="2" t="s">
        <v>1354</v>
      </c>
      <c r="B501" s="2" t="s">
        <v>48</v>
      </c>
      <c r="C501" s="4">
        <v>45965</v>
      </c>
      <c r="D501" s="2" t="s">
        <v>1355</v>
      </c>
      <c r="E501" s="2" t="s">
        <v>1356</v>
      </c>
      <c r="F501" s="2" t="s">
        <v>22</v>
      </c>
      <c r="G501" s="2" t="s">
        <v>169</v>
      </c>
      <c r="H501" s="2" t="s">
        <v>31</v>
      </c>
      <c r="I501" s="2" t="s">
        <v>64</v>
      </c>
    </row>
    <row r="502" spans="1:9" x14ac:dyDescent="0.2">
      <c r="A502" s="2" t="s">
        <v>1357</v>
      </c>
      <c r="B502" s="2" t="s">
        <v>267</v>
      </c>
      <c r="C502" s="2" t="s">
        <v>1199</v>
      </c>
      <c r="D502" s="2" t="s">
        <v>445</v>
      </c>
      <c r="E502" s="2" t="s">
        <v>1358</v>
      </c>
      <c r="F502" s="2" t="s">
        <v>37</v>
      </c>
      <c r="G502" s="2" t="s">
        <v>94</v>
      </c>
      <c r="H502" s="2" t="s">
        <v>16</v>
      </c>
    </row>
    <row r="503" spans="1:9" x14ac:dyDescent="0.2">
      <c r="A503" s="2" t="s">
        <v>1359</v>
      </c>
      <c r="B503" s="2" t="s">
        <v>33</v>
      </c>
      <c r="C503" s="2" t="s">
        <v>1262</v>
      </c>
      <c r="D503" s="4">
        <v>46013</v>
      </c>
      <c r="E503" s="2" t="s">
        <v>1360</v>
      </c>
      <c r="F503" s="2" t="s">
        <v>37</v>
      </c>
      <c r="G503" s="2" t="s">
        <v>23</v>
      </c>
      <c r="H503" s="2" t="s">
        <v>16</v>
      </c>
    </row>
    <row r="504" spans="1:9" x14ac:dyDescent="0.2">
      <c r="A504" s="2" t="s">
        <v>1361</v>
      </c>
      <c r="B504" s="2" t="s">
        <v>267</v>
      </c>
      <c r="C504" s="4">
        <v>45968</v>
      </c>
      <c r="D504" s="4">
        <v>45998</v>
      </c>
      <c r="E504" s="2" t="s">
        <v>1362</v>
      </c>
      <c r="F504" s="2" t="s">
        <v>37</v>
      </c>
      <c r="G504" s="2" t="s">
        <v>249</v>
      </c>
      <c r="H504" s="2" t="s">
        <v>16</v>
      </c>
      <c r="I504" s="2" t="s">
        <v>24</v>
      </c>
    </row>
    <row r="505" spans="1:9" x14ac:dyDescent="0.2">
      <c r="A505" s="2" t="s">
        <v>1363</v>
      </c>
      <c r="B505" s="2" t="s">
        <v>48</v>
      </c>
      <c r="C505" s="2" t="s">
        <v>1364</v>
      </c>
      <c r="D505" s="4">
        <v>45999</v>
      </c>
      <c r="E505" s="2" t="s">
        <v>1365</v>
      </c>
      <c r="F505" s="2" t="s">
        <v>22</v>
      </c>
      <c r="G505" s="2" t="s">
        <v>46</v>
      </c>
      <c r="H505" s="2" t="s">
        <v>16</v>
      </c>
      <c r="I505" s="2" t="s">
        <v>58</v>
      </c>
    </row>
    <row r="506" spans="1:9" x14ac:dyDescent="0.2">
      <c r="A506" s="2" t="s">
        <v>1366</v>
      </c>
      <c r="B506" s="2" t="s">
        <v>84</v>
      </c>
      <c r="C506" s="2" t="s">
        <v>1367</v>
      </c>
      <c r="D506" s="4">
        <v>46014</v>
      </c>
      <c r="E506" s="2" t="s">
        <v>1368</v>
      </c>
      <c r="F506" s="2" t="s">
        <v>37</v>
      </c>
      <c r="G506" s="2" t="s">
        <v>67</v>
      </c>
      <c r="H506" s="2" t="s">
        <v>105</v>
      </c>
    </row>
    <row r="507" spans="1:9" x14ac:dyDescent="0.2">
      <c r="A507" s="2" t="s">
        <v>1369</v>
      </c>
      <c r="B507" s="2" t="s">
        <v>90</v>
      </c>
      <c r="C507" s="4">
        <v>45969</v>
      </c>
      <c r="D507" s="2" t="s">
        <v>1370</v>
      </c>
      <c r="E507" s="2" t="s">
        <v>1371</v>
      </c>
      <c r="F507" s="2" t="s">
        <v>22</v>
      </c>
      <c r="G507" s="2" t="s">
        <v>94</v>
      </c>
      <c r="H507" s="2" t="s">
        <v>16</v>
      </c>
      <c r="I507" s="2" t="s">
        <v>24</v>
      </c>
    </row>
    <row r="508" spans="1:9" x14ac:dyDescent="0.2">
      <c r="A508" s="2" t="s">
        <v>1372</v>
      </c>
      <c r="B508" s="2" t="s">
        <v>116</v>
      </c>
      <c r="C508" s="4">
        <v>45969</v>
      </c>
      <c r="D508" s="2" t="s">
        <v>1373</v>
      </c>
      <c r="E508" s="2">
        <v>46392.6</v>
      </c>
      <c r="F508" s="2" t="s">
        <v>37</v>
      </c>
      <c r="G508" s="2" t="s">
        <v>114</v>
      </c>
      <c r="H508" s="2" t="s">
        <v>41</v>
      </c>
    </row>
    <row r="509" spans="1:9" x14ac:dyDescent="0.2">
      <c r="A509" s="2" t="s">
        <v>1374</v>
      </c>
      <c r="B509" s="2" t="s">
        <v>157</v>
      </c>
      <c r="C509" s="2" t="s">
        <v>1375</v>
      </c>
      <c r="D509" s="2" t="s">
        <v>1376</v>
      </c>
      <c r="E509" s="2">
        <v>40979.160000000003</v>
      </c>
      <c r="F509" s="2" t="s">
        <v>37</v>
      </c>
      <c r="G509" s="2" t="s">
        <v>23</v>
      </c>
      <c r="H509" s="2" t="s">
        <v>124</v>
      </c>
      <c r="I509" s="2" t="s">
        <v>64</v>
      </c>
    </row>
    <row r="510" spans="1:9" x14ac:dyDescent="0.2">
      <c r="A510" s="2" t="s">
        <v>1377</v>
      </c>
      <c r="B510" s="2" t="s">
        <v>48</v>
      </c>
      <c r="C510" s="4">
        <v>45970</v>
      </c>
      <c r="D510" s="4">
        <v>46000</v>
      </c>
      <c r="E510" s="2" t="s">
        <v>1378</v>
      </c>
      <c r="F510" s="2" t="s">
        <v>37</v>
      </c>
      <c r="G510" s="2" t="s">
        <v>210</v>
      </c>
      <c r="H510" s="2" t="s">
        <v>16</v>
      </c>
    </row>
    <row r="511" spans="1:9" x14ac:dyDescent="0.2">
      <c r="A511" s="2" t="s">
        <v>1379</v>
      </c>
      <c r="B511" s="2" t="s">
        <v>79</v>
      </c>
      <c r="C511" s="2" t="s">
        <v>1202</v>
      </c>
      <c r="D511" s="2" t="s">
        <v>1380</v>
      </c>
      <c r="E511" s="2" t="s">
        <v>1381</v>
      </c>
      <c r="F511" s="2" t="s">
        <v>29</v>
      </c>
      <c r="G511" s="2" t="s">
        <v>63</v>
      </c>
      <c r="H511" s="2" t="s">
        <v>41</v>
      </c>
      <c r="I511" s="2" t="s">
        <v>24</v>
      </c>
    </row>
    <row r="512" spans="1:9" x14ac:dyDescent="0.2">
      <c r="A512" s="2" t="s">
        <v>1382</v>
      </c>
      <c r="B512" s="2" t="s">
        <v>79</v>
      </c>
      <c r="C512" s="4">
        <v>45972</v>
      </c>
      <c r="D512" s="4">
        <v>46017</v>
      </c>
      <c r="E512" s="2" t="s">
        <v>1383</v>
      </c>
      <c r="F512" s="2" t="s">
        <v>37</v>
      </c>
      <c r="H512" s="2" t="s">
        <v>304</v>
      </c>
      <c r="I512" s="2" t="s">
        <v>58</v>
      </c>
    </row>
    <row r="513" spans="1:9" x14ac:dyDescent="0.2">
      <c r="A513" s="2" t="s">
        <v>807</v>
      </c>
      <c r="B513" s="2" t="s">
        <v>107</v>
      </c>
      <c r="C513" s="2" t="s">
        <v>808</v>
      </c>
      <c r="D513" s="2" t="s">
        <v>809</v>
      </c>
      <c r="E513" s="2" t="s">
        <v>810</v>
      </c>
      <c r="F513" s="2" t="s">
        <v>37</v>
      </c>
      <c r="G513" s="2" t="s">
        <v>114</v>
      </c>
      <c r="H513" s="2" t="s">
        <v>31</v>
      </c>
      <c r="I513" s="2" t="s">
        <v>64</v>
      </c>
    </row>
    <row r="514" spans="1:9" x14ac:dyDescent="0.2">
      <c r="A514" s="2" t="s">
        <v>1384</v>
      </c>
      <c r="B514" s="2" t="s">
        <v>12</v>
      </c>
      <c r="C514" s="4">
        <v>45972</v>
      </c>
      <c r="D514" s="4">
        <v>45987</v>
      </c>
      <c r="E514" s="2">
        <v>1862.32</v>
      </c>
      <c r="F514" s="2" t="s">
        <v>77</v>
      </c>
      <c r="G514" s="2" t="s">
        <v>155</v>
      </c>
      <c r="H514" s="2" t="s">
        <v>16</v>
      </c>
    </row>
    <row r="515" spans="1:9" x14ac:dyDescent="0.2">
      <c r="A515" s="2" t="s">
        <v>1385</v>
      </c>
      <c r="B515" s="2" t="s">
        <v>103</v>
      </c>
      <c r="C515" s="4">
        <v>45973</v>
      </c>
      <c r="D515" s="2" t="s">
        <v>1386</v>
      </c>
      <c r="E515" s="2">
        <v>31527.19</v>
      </c>
      <c r="F515" s="2" t="s">
        <v>37</v>
      </c>
      <c r="G515" s="2" t="s">
        <v>63</v>
      </c>
      <c r="H515" s="2" t="s">
        <v>82</v>
      </c>
    </row>
    <row r="516" spans="1:9" x14ac:dyDescent="0.2">
      <c r="A516" s="2" t="s">
        <v>1387</v>
      </c>
      <c r="B516" s="2" t="s">
        <v>116</v>
      </c>
      <c r="C516" s="4">
        <v>45974</v>
      </c>
      <c r="D516" s="2" t="s">
        <v>1388</v>
      </c>
      <c r="E516" s="2" t="s">
        <v>1389</v>
      </c>
      <c r="F516" s="2" t="s">
        <v>37</v>
      </c>
      <c r="G516" s="2" t="s">
        <v>67</v>
      </c>
      <c r="H516" s="2" t="s">
        <v>16</v>
      </c>
      <c r="I516" s="2" t="s">
        <v>64</v>
      </c>
    </row>
    <row r="517" spans="1:9" x14ac:dyDescent="0.2">
      <c r="A517" s="2" t="s">
        <v>1390</v>
      </c>
      <c r="B517" s="2" t="s">
        <v>48</v>
      </c>
      <c r="C517" s="4">
        <v>45975</v>
      </c>
      <c r="D517" s="4">
        <v>46005</v>
      </c>
      <c r="E517" s="2">
        <v>4176.32</v>
      </c>
      <c r="F517" s="2" t="s">
        <v>22</v>
      </c>
      <c r="G517" s="2" t="s">
        <v>169</v>
      </c>
      <c r="H517" s="2" t="s">
        <v>68</v>
      </c>
    </row>
    <row r="518" spans="1:9" x14ac:dyDescent="0.2">
      <c r="A518" s="2" t="s">
        <v>1090</v>
      </c>
      <c r="B518" s="2" t="s">
        <v>103</v>
      </c>
      <c r="C518" s="4">
        <v>45894</v>
      </c>
      <c r="D518" s="4">
        <v>45939</v>
      </c>
      <c r="E518" s="2" t="s">
        <v>1091</v>
      </c>
      <c r="F518" s="2" t="s">
        <v>22</v>
      </c>
      <c r="G518" s="2" t="s">
        <v>23</v>
      </c>
      <c r="H518" s="2" t="s">
        <v>41</v>
      </c>
    </row>
    <row r="519" spans="1:9" x14ac:dyDescent="0.2">
      <c r="A519" s="2" t="s">
        <v>1391</v>
      </c>
      <c r="B519" s="2" t="s">
        <v>137</v>
      </c>
      <c r="C519" s="2" t="s">
        <v>1392</v>
      </c>
      <c r="D519" s="2" t="s">
        <v>1393</v>
      </c>
      <c r="E519" s="2">
        <v>15693.97</v>
      </c>
      <c r="F519" s="2" t="s">
        <v>37</v>
      </c>
      <c r="G519" s="2" t="s">
        <v>63</v>
      </c>
      <c r="H519" s="2" t="s">
        <v>82</v>
      </c>
      <c r="I519" s="2" t="s">
        <v>64</v>
      </c>
    </row>
    <row r="520" spans="1:9" x14ac:dyDescent="0.2">
      <c r="A520" s="2" t="s">
        <v>1394</v>
      </c>
      <c r="B520" s="2" t="s">
        <v>33</v>
      </c>
      <c r="C520" s="2" t="s">
        <v>1227</v>
      </c>
      <c r="D520" s="4">
        <v>46021</v>
      </c>
      <c r="E520" s="2" t="s">
        <v>1395</v>
      </c>
      <c r="F520" s="2" t="s">
        <v>29</v>
      </c>
      <c r="G520" s="2" t="s">
        <v>23</v>
      </c>
      <c r="H520" s="2" t="s">
        <v>82</v>
      </c>
    </row>
    <row r="521" spans="1:9" x14ac:dyDescent="0.2">
      <c r="A521" s="2" t="s">
        <v>1396</v>
      </c>
      <c r="B521" s="2" t="s">
        <v>60</v>
      </c>
      <c r="C521" s="4">
        <v>45976</v>
      </c>
      <c r="D521" s="4">
        <v>46021</v>
      </c>
      <c r="E521" s="2" t="s">
        <v>1397</v>
      </c>
      <c r="F521" s="2" t="s">
        <v>37</v>
      </c>
      <c r="G521" s="2" t="s">
        <v>67</v>
      </c>
      <c r="H521" s="2" t="s">
        <v>16</v>
      </c>
    </row>
    <row r="522" spans="1:9" x14ac:dyDescent="0.2">
      <c r="A522" s="2" t="s">
        <v>1398</v>
      </c>
      <c r="B522" s="2" t="s">
        <v>141</v>
      </c>
      <c r="C522" s="4">
        <v>45978</v>
      </c>
      <c r="D522" s="2" t="s">
        <v>1399</v>
      </c>
      <c r="E522" s="2" t="s">
        <v>1400</v>
      </c>
      <c r="F522" s="2" t="s">
        <v>22</v>
      </c>
      <c r="G522" s="2" t="s">
        <v>114</v>
      </c>
      <c r="H522" s="2" t="s">
        <v>1401</v>
      </c>
    </row>
    <row r="523" spans="1:9" x14ac:dyDescent="0.2">
      <c r="A523" s="2" t="s">
        <v>1402</v>
      </c>
      <c r="B523" s="2" t="s">
        <v>614</v>
      </c>
      <c r="C523" s="4">
        <v>45978</v>
      </c>
      <c r="D523" s="4">
        <v>45993</v>
      </c>
      <c r="E523" s="2" t="s">
        <v>1403</v>
      </c>
      <c r="F523" s="2" t="s">
        <v>22</v>
      </c>
      <c r="G523" s="2" t="s">
        <v>15</v>
      </c>
      <c r="H523" s="2" t="s">
        <v>105</v>
      </c>
    </row>
    <row r="524" spans="1:9" x14ac:dyDescent="0.2">
      <c r="A524" s="2" t="s">
        <v>1404</v>
      </c>
      <c r="B524" s="2" t="s">
        <v>137</v>
      </c>
      <c r="C524" s="4">
        <v>45978</v>
      </c>
      <c r="D524" s="2" t="s">
        <v>1405</v>
      </c>
      <c r="E524" s="2" t="s">
        <v>1406</v>
      </c>
      <c r="F524" s="2" t="s">
        <v>37</v>
      </c>
      <c r="G524" s="2" t="s">
        <v>63</v>
      </c>
      <c r="H524" s="2" t="s">
        <v>1236</v>
      </c>
    </row>
    <row r="525" spans="1:9" x14ac:dyDescent="0.2">
      <c r="A525" s="2" t="s">
        <v>1407</v>
      </c>
      <c r="B525" s="2" t="s">
        <v>39</v>
      </c>
      <c r="C525" s="2" t="s">
        <v>1408</v>
      </c>
      <c r="D525" s="2" t="s">
        <v>1350</v>
      </c>
      <c r="E525" s="2">
        <v>3071.21</v>
      </c>
      <c r="F525" s="2" t="s">
        <v>29</v>
      </c>
      <c r="G525" s="2" t="s">
        <v>169</v>
      </c>
      <c r="H525" s="2" t="s">
        <v>31</v>
      </c>
      <c r="I525" s="2" t="s">
        <v>24</v>
      </c>
    </row>
    <row r="526" spans="1:9" x14ac:dyDescent="0.2">
      <c r="A526" s="2" t="s">
        <v>1409</v>
      </c>
      <c r="B526" s="2" t="s">
        <v>157</v>
      </c>
      <c r="C526" s="2" t="s">
        <v>1241</v>
      </c>
      <c r="D526" s="2" t="s">
        <v>1410</v>
      </c>
      <c r="E526" s="2">
        <v>29651.86</v>
      </c>
      <c r="F526" s="2" t="s">
        <v>14</v>
      </c>
      <c r="H526" s="2" t="s">
        <v>1236</v>
      </c>
    </row>
    <row r="527" spans="1:9" x14ac:dyDescent="0.2">
      <c r="A527" s="2" t="s">
        <v>1411</v>
      </c>
      <c r="B527" s="2" t="s">
        <v>103</v>
      </c>
      <c r="C527" s="2" t="s">
        <v>1412</v>
      </c>
      <c r="D527" s="4">
        <v>46024</v>
      </c>
      <c r="E527" s="2">
        <v>8298.7099999999991</v>
      </c>
      <c r="F527" s="2" t="s">
        <v>37</v>
      </c>
      <c r="G527" s="2" t="s">
        <v>63</v>
      </c>
      <c r="H527" s="2" t="s">
        <v>583</v>
      </c>
    </row>
    <row r="528" spans="1:9" x14ac:dyDescent="0.2">
      <c r="A528" s="2" t="s">
        <v>1413</v>
      </c>
      <c r="B528" s="2" t="s">
        <v>866</v>
      </c>
      <c r="C528" s="2" t="s">
        <v>1414</v>
      </c>
      <c r="D528" s="4">
        <v>46010</v>
      </c>
      <c r="E528" s="2">
        <v>10494.29</v>
      </c>
      <c r="F528" s="2" t="s">
        <v>37</v>
      </c>
      <c r="G528" s="2" t="s">
        <v>822</v>
      </c>
      <c r="H528" s="2" t="s">
        <v>68</v>
      </c>
    </row>
    <row r="529" spans="1:9" x14ac:dyDescent="0.2">
      <c r="A529" s="2" t="s">
        <v>1415</v>
      </c>
      <c r="B529" s="2" t="s">
        <v>1311</v>
      </c>
      <c r="C529" s="2" t="s">
        <v>541</v>
      </c>
      <c r="D529" s="4">
        <v>45908</v>
      </c>
      <c r="E529" s="2">
        <v>1664.68</v>
      </c>
      <c r="F529" s="2" t="s">
        <v>22</v>
      </c>
      <c r="G529" s="2" t="s">
        <v>15</v>
      </c>
      <c r="H529" s="2" t="s">
        <v>105</v>
      </c>
    </row>
    <row r="530" spans="1:9" x14ac:dyDescent="0.2">
      <c r="A530" s="2" t="s">
        <v>1416</v>
      </c>
      <c r="B530" s="2" t="s">
        <v>141</v>
      </c>
      <c r="C530" s="2" t="s">
        <v>1320</v>
      </c>
      <c r="D530" s="2" t="s">
        <v>1417</v>
      </c>
      <c r="E530" s="2" t="s">
        <v>1418</v>
      </c>
      <c r="G530" s="2" t="s">
        <v>114</v>
      </c>
      <c r="H530" s="2" t="s">
        <v>1401</v>
      </c>
    </row>
    <row r="531" spans="1:9" x14ac:dyDescent="0.2">
      <c r="A531" s="2" t="s">
        <v>1419</v>
      </c>
      <c r="B531" s="2" t="s">
        <v>26</v>
      </c>
      <c r="C531" s="2" t="s">
        <v>1420</v>
      </c>
      <c r="D531" s="4">
        <v>46012</v>
      </c>
      <c r="E531" s="2" t="s">
        <v>1421</v>
      </c>
      <c r="F531" s="2" t="s">
        <v>37</v>
      </c>
      <c r="G531" s="2" t="s">
        <v>249</v>
      </c>
      <c r="H531" s="2" t="s">
        <v>41</v>
      </c>
    </row>
    <row r="532" spans="1:9" x14ac:dyDescent="0.2">
      <c r="A532" s="2" t="s">
        <v>1344</v>
      </c>
      <c r="B532" s="2" t="s">
        <v>157</v>
      </c>
      <c r="C532" s="2" t="s">
        <v>1345</v>
      </c>
      <c r="D532" s="4">
        <v>46027</v>
      </c>
      <c r="E532" s="2" t="s">
        <v>1346</v>
      </c>
      <c r="F532" s="2" t="s">
        <v>29</v>
      </c>
      <c r="H532" s="2" t="s">
        <v>1236</v>
      </c>
    </row>
    <row r="533" spans="1:9" x14ac:dyDescent="0.2">
      <c r="A533" s="2" t="s">
        <v>1422</v>
      </c>
      <c r="B533" s="2" t="s">
        <v>272</v>
      </c>
      <c r="C533" s="2" t="s">
        <v>1345</v>
      </c>
      <c r="D533" s="2" t="s">
        <v>1423</v>
      </c>
      <c r="E533" s="2">
        <v>1912.23</v>
      </c>
      <c r="F533" s="2" t="s">
        <v>37</v>
      </c>
      <c r="G533" s="2" t="s">
        <v>254</v>
      </c>
      <c r="H533" s="2" t="s">
        <v>82</v>
      </c>
      <c r="I533" s="2" t="s">
        <v>58</v>
      </c>
    </row>
    <row r="534" spans="1:9" x14ac:dyDescent="0.2">
      <c r="A534" s="2" t="s">
        <v>1424</v>
      </c>
      <c r="B534" s="2" t="s">
        <v>116</v>
      </c>
      <c r="C534" s="2" t="s">
        <v>1425</v>
      </c>
      <c r="D534" s="4">
        <v>46028</v>
      </c>
      <c r="E534" s="2" t="s">
        <v>1426</v>
      </c>
      <c r="F534" s="2" t="s">
        <v>37</v>
      </c>
      <c r="G534" s="2" t="s">
        <v>67</v>
      </c>
      <c r="H534" s="2" t="s">
        <v>41</v>
      </c>
      <c r="I534" s="2" t="s">
        <v>64</v>
      </c>
    </row>
    <row r="535" spans="1:9" x14ac:dyDescent="0.2">
      <c r="A535" s="2" t="s">
        <v>1427</v>
      </c>
      <c r="B535" s="2" t="s">
        <v>60</v>
      </c>
      <c r="C535" s="4">
        <v>45983</v>
      </c>
      <c r="D535" s="4">
        <v>46028</v>
      </c>
      <c r="E535" s="2" t="s">
        <v>1428</v>
      </c>
      <c r="F535" s="2" t="s">
        <v>14</v>
      </c>
      <c r="G535" s="2" t="s">
        <v>63</v>
      </c>
      <c r="H535" s="2" t="s">
        <v>583</v>
      </c>
    </row>
    <row r="536" spans="1:9" x14ac:dyDescent="0.2">
      <c r="A536" s="2" t="s">
        <v>1429</v>
      </c>
      <c r="B536" s="2" t="s">
        <v>195</v>
      </c>
      <c r="C536" s="2" t="s">
        <v>1425</v>
      </c>
      <c r="D536" s="2" t="s">
        <v>1430</v>
      </c>
      <c r="E536" s="2" t="s">
        <v>1431</v>
      </c>
      <c r="F536" s="2" t="s">
        <v>22</v>
      </c>
      <c r="G536" s="2" t="s">
        <v>822</v>
      </c>
      <c r="H536" s="2" t="s">
        <v>31</v>
      </c>
    </row>
    <row r="537" spans="1:9" x14ac:dyDescent="0.2">
      <c r="A537" s="2" t="s">
        <v>1432</v>
      </c>
      <c r="B537" s="2" t="s">
        <v>60</v>
      </c>
      <c r="C537" s="4">
        <v>45983</v>
      </c>
      <c r="D537" s="2" t="s">
        <v>1433</v>
      </c>
      <c r="E537" s="2" t="s">
        <v>1434</v>
      </c>
      <c r="F537" s="2" t="s">
        <v>37</v>
      </c>
      <c r="G537" s="2" t="s">
        <v>63</v>
      </c>
      <c r="H537" s="2" t="s">
        <v>31</v>
      </c>
      <c r="I537" s="2" t="s">
        <v>24</v>
      </c>
    </row>
    <row r="538" spans="1:9" x14ac:dyDescent="0.2">
      <c r="A538" s="2" t="s">
        <v>1435</v>
      </c>
      <c r="B538" s="2" t="s">
        <v>137</v>
      </c>
      <c r="C538" s="2" t="s">
        <v>1256</v>
      </c>
      <c r="D538" s="4">
        <v>46028</v>
      </c>
      <c r="E538" s="2" t="s">
        <v>1436</v>
      </c>
      <c r="F538" s="2" t="s">
        <v>630</v>
      </c>
      <c r="G538" s="2" t="s">
        <v>63</v>
      </c>
      <c r="H538" s="2" t="s">
        <v>430</v>
      </c>
    </row>
    <row r="539" spans="1:9" x14ac:dyDescent="0.2">
      <c r="A539" s="2" t="s">
        <v>1437</v>
      </c>
      <c r="B539" s="2" t="s">
        <v>48</v>
      </c>
      <c r="C539" s="4">
        <v>45983</v>
      </c>
      <c r="D539" s="2" t="s">
        <v>1438</v>
      </c>
      <c r="E539" s="2" t="s">
        <v>1439</v>
      </c>
      <c r="F539" s="2" t="s">
        <v>37</v>
      </c>
      <c r="G539" s="2" t="s">
        <v>210</v>
      </c>
      <c r="H539" s="2" t="s">
        <v>304</v>
      </c>
    </row>
    <row r="540" spans="1:9" x14ac:dyDescent="0.2">
      <c r="A540" s="2" t="s">
        <v>1440</v>
      </c>
      <c r="B540" s="2" t="s">
        <v>137</v>
      </c>
      <c r="C540" s="2" t="s">
        <v>1441</v>
      </c>
      <c r="D540" s="2" t="s">
        <v>1442</v>
      </c>
      <c r="E540" s="2">
        <v>29365.23</v>
      </c>
      <c r="F540" s="2" t="s">
        <v>22</v>
      </c>
      <c r="G540" s="2" t="s">
        <v>63</v>
      </c>
      <c r="H540" s="2" t="s">
        <v>583</v>
      </c>
      <c r="I540" s="2" t="s">
        <v>17</v>
      </c>
    </row>
    <row r="541" spans="1:9" x14ac:dyDescent="0.2">
      <c r="A541" s="2" t="s">
        <v>1443</v>
      </c>
      <c r="B541" s="2" t="s">
        <v>33</v>
      </c>
      <c r="C541" s="4">
        <v>45985</v>
      </c>
      <c r="D541" s="2" t="s">
        <v>1444</v>
      </c>
      <c r="E541" s="2" t="s">
        <v>1445</v>
      </c>
      <c r="F541" s="2" t="s">
        <v>37</v>
      </c>
      <c r="G541" s="2" t="s">
        <v>23</v>
      </c>
      <c r="H541" s="2" t="s">
        <v>1401</v>
      </c>
    </row>
    <row r="542" spans="1:9" x14ac:dyDescent="0.2">
      <c r="A542" s="2" t="s">
        <v>1446</v>
      </c>
      <c r="B542" s="2" t="s">
        <v>198</v>
      </c>
      <c r="C542" s="4">
        <v>45987</v>
      </c>
      <c r="D542" s="4">
        <v>46032</v>
      </c>
      <c r="E542" s="2" t="s">
        <v>1447</v>
      </c>
      <c r="F542" s="2" t="s">
        <v>77</v>
      </c>
      <c r="G542" s="2" t="s">
        <v>67</v>
      </c>
      <c r="H542" s="2" t="s">
        <v>1236</v>
      </c>
    </row>
    <row r="543" spans="1:9" x14ac:dyDescent="0.2">
      <c r="A543" s="2" t="s">
        <v>1448</v>
      </c>
      <c r="B543" s="2" t="s">
        <v>198</v>
      </c>
      <c r="C543" s="4">
        <v>45988</v>
      </c>
      <c r="D543" s="4">
        <v>46033</v>
      </c>
      <c r="E543" s="2" t="s">
        <v>1449</v>
      </c>
      <c r="F543" s="2" t="s">
        <v>37</v>
      </c>
      <c r="G543" s="2" t="s">
        <v>67</v>
      </c>
      <c r="H543" s="2" t="s">
        <v>583</v>
      </c>
      <c r="I543" s="2" t="s">
        <v>24</v>
      </c>
    </row>
    <row r="544" spans="1:9" x14ac:dyDescent="0.2">
      <c r="A544" s="2" t="s">
        <v>1450</v>
      </c>
      <c r="B544" s="2" t="s">
        <v>33</v>
      </c>
      <c r="C544" s="4">
        <v>45988</v>
      </c>
      <c r="D544" s="2" t="s">
        <v>1451</v>
      </c>
      <c r="E544" s="2">
        <v>13019.71</v>
      </c>
      <c r="F544" s="2" t="s">
        <v>630</v>
      </c>
      <c r="G544" s="2" t="s">
        <v>23</v>
      </c>
      <c r="H544" s="2" t="s">
        <v>1236</v>
      </c>
    </row>
    <row r="545" spans="1:9" x14ac:dyDescent="0.2">
      <c r="A545" s="2" t="s">
        <v>1452</v>
      </c>
      <c r="B545" s="2" t="s">
        <v>116</v>
      </c>
      <c r="C545" s="2" t="s">
        <v>1453</v>
      </c>
      <c r="D545" s="2" t="s">
        <v>1454</v>
      </c>
      <c r="E545" s="2" t="s">
        <v>1455</v>
      </c>
      <c r="G545" s="2" t="s">
        <v>63</v>
      </c>
      <c r="H545" s="2" t="s">
        <v>583</v>
      </c>
      <c r="I545" s="2" t="s">
        <v>17</v>
      </c>
    </row>
    <row r="546" spans="1:9" x14ac:dyDescent="0.2">
      <c r="A546" s="2" t="s">
        <v>1456</v>
      </c>
      <c r="B546" s="2" t="s">
        <v>60</v>
      </c>
      <c r="C546" s="4">
        <v>45989</v>
      </c>
      <c r="D546" s="4">
        <v>46034</v>
      </c>
      <c r="E546" s="2" t="s">
        <v>1457</v>
      </c>
      <c r="G546" s="2" t="s">
        <v>114</v>
      </c>
      <c r="H546" s="2" t="s">
        <v>41</v>
      </c>
      <c r="I546" s="2" t="s">
        <v>24</v>
      </c>
    </row>
    <row r="547" spans="1:9" x14ac:dyDescent="0.2">
      <c r="A547" s="2" t="s">
        <v>1458</v>
      </c>
      <c r="B547" s="2" t="s">
        <v>33</v>
      </c>
      <c r="C547" s="2" t="s">
        <v>1459</v>
      </c>
      <c r="D547" s="4">
        <v>46035</v>
      </c>
      <c r="E547" s="2">
        <v>8521.9699999999993</v>
      </c>
      <c r="F547" s="2" t="s">
        <v>22</v>
      </c>
      <c r="H547" s="2" t="s">
        <v>1401</v>
      </c>
      <c r="I547" s="2" t="s">
        <v>17</v>
      </c>
    </row>
    <row r="548" spans="1:9" x14ac:dyDescent="0.2">
      <c r="A548" s="2" t="s">
        <v>1460</v>
      </c>
      <c r="B548" s="2" t="s">
        <v>165</v>
      </c>
      <c r="C548" s="4">
        <v>45990</v>
      </c>
      <c r="D548" s="2" t="s">
        <v>1461</v>
      </c>
      <c r="E548" s="2">
        <v>8803.4500000000007</v>
      </c>
      <c r="F548" s="2" t="s">
        <v>37</v>
      </c>
      <c r="G548" s="2" t="s">
        <v>210</v>
      </c>
      <c r="H548" s="2" t="s">
        <v>304</v>
      </c>
      <c r="I548" s="2" t="s">
        <v>58</v>
      </c>
    </row>
    <row r="549" spans="1:9" x14ac:dyDescent="0.2">
      <c r="A549" s="2" t="s">
        <v>1462</v>
      </c>
      <c r="B549" s="2" t="s">
        <v>43</v>
      </c>
      <c r="C549" s="2" t="s">
        <v>1463</v>
      </c>
      <c r="D549" s="4">
        <v>46020</v>
      </c>
      <c r="E549" s="2" t="s">
        <v>1464</v>
      </c>
      <c r="F549" s="2" t="s">
        <v>29</v>
      </c>
      <c r="G549" s="2" t="s">
        <v>46</v>
      </c>
      <c r="H549" s="2" t="s">
        <v>16</v>
      </c>
      <c r="I549" s="2" t="s">
        <v>17</v>
      </c>
    </row>
    <row r="550" spans="1:9" x14ac:dyDescent="0.2">
      <c r="A550" s="2" t="s">
        <v>1465</v>
      </c>
      <c r="B550" s="2" t="s">
        <v>116</v>
      </c>
      <c r="C550" s="2" t="s">
        <v>427</v>
      </c>
      <c r="D550" s="2" t="s">
        <v>428</v>
      </c>
      <c r="E550" s="2" t="s">
        <v>429</v>
      </c>
      <c r="G550" s="2" t="s">
        <v>23</v>
      </c>
      <c r="H550" s="2" t="s">
        <v>430</v>
      </c>
    </row>
    <row r="551" spans="1:9" x14ac:dyDescent="0.2">
      <c r="A551" s="2" t="s">
        <v>1466</v>
      </c>
      <c r="B551" s="2" t="s">
        <v>1467</v>
      </c>
      <c r="C551" s="2" t="s">
        <v>317</v>
      </c>
      <c r="D551" s="4">
        <v>45754</v>
      </c>
      <c r="E551" s="2" t="s">
        <v>318</v>
      </c>
      <c r="F551" s="2" t="s">
        <v>29</v>
      </c>
      <c r="G551" s="2" t="s">
        <v>23</v>
      </c>
      <c r="H551" s="2" t="s">
        <v>16</v>
      </c>
    </row>
    <row r="552" spans="1:9" x14ac:dyDescent="0.2">
      <c r="A552" s="2" t="s">
        <v>1468</v>
      </c>
      <c r="B552" s="2" t="s">
        <v>107</v>
      </c>
      <c r="C552" s="2" t="s">
        <v>1469</v>
      </c>
      <c r="D552" s="2" t="s">
        <v>1470</v>
      </c>
      <c r="E552" s="2" t="s">
        <v>1471</v>
      </c>
      <c r="F552" s="2" t="s">
        <v>37</v>
      </c>
      <c r="G552" s="2" t="s">
        <v>114</v>
      </c>
      <c r="H552" s="2" t="s">
        <v>1401</v>
      </c>
    </row>
    <row r="553" spans="1:9" x14ac:dyDescent="0.2">
      <c r="A553" s="2" t="s">
        <v>1472</v>
      </c>
      <c r="B553" s="2" t="s">
        <v>165</v>
      </c>
      <c r="C553" s="2" t="s">
        <v>1473</v>
      </c>
      <c r="D553" s="2" t="s">
        <v>1474</v>
      </c>
      <c r="E553" s="2" t="s">
        <v>1475</v>
      </c>
      <c r="F553" s="2" t="s">
        <v>37</v>
      </c>
      <c r="G553" s="2" t="s">
        <v>46</v>
      </c>
      <c r="H553" s="2" t="s">
        <v>31</v>
      </c>
      <c r="I553" s="2" t="s">
        <v>64</v>
      </c>
    </row>
    <row r="554" spans="1:9" x14ac:dyDescent="0.2">
      <c r="A554" s="2" t="s">
        <v>1476</v>
      </c>
      <c r="B554" s="2" t="s">
        <v>74</v>
      </c>
      <c r="C554" s="2" t="s">
        <v>1473</v>
      </c>
      <c r="D554" s="2" t="s">
        <v>1477</v>
      </c>
      <c r="E554" s="2">
        <v>16891.66</v>
      </c>
      <c r="F554" s="2" t="s">
        <v>22</v>
      </c>
      <c r="G554" s="2" t="s">
        <v>63</v>
      </c>
      <c r="H554" s="2" t="s">
        <v>1401</v>
      </c>
      <c r="I554" s="2" t="s">
        <v>17</v>
      </c>
    </row>
    <row r="555" spans="1:9" x14ac:dyDescent="0.2">
      <c r="A555" s="2" t="s">
        <v>1478</v>
      </c>
      <c r="B555" s="2" t="s">
        <v>84</v>
      </c>
      <c r="C555" s="4">
        <v>45994</v>
      </c>
      <c r="D555" s="2" t="s">
        <v>1479</v>
      </c>
      <c r="E555" s="2" t="s">
        <v>1480</v>
      </c>
      <c r="F555" s="2" t="s">
        <v>29</v>
      </c>
      <c r="G555" s="2" t="s">
        <v>63</v>
      </c>
      <c r="H555" s="2" t="s">
        <v>1401</v>
      </c>
      <c r="I555" s="2" t="s">
        <v>24</v>
      </c>
    </row>
    <row r="556" spans="1:9" x14ac:dyDescent="0.2">
      <c r="A556" s="2" t="s">
        <v>1481</v>
      </c>
      <c r="B556" s="2" t="s">
        <v>107</v>
      </c>
      <c r="C556" s="4">
        <v>45994</v>
      </c>
      <c r="D556" s="2" t="s">
        <v>1482</v>
      </c>
      <c r="E556" s="2" t="s">
        <v>1483</v>
      </c>
      <c r="G556" s="2" t="s">
        <v>63</v>
      </c>
      <c r="H556" s="2" t="s">
        <v>1236</v>
      </c>
      <c r="I556" s="2" t="s">
        <v>17</v>
      </c>
    </row>
    <row r="557" spans="1:9" x14ac:dyDescent="0.2">
      <c r="A557" s="2" t="s">
        <v>1484</v>
      </c>
      <c r="B557" s="2" t="s">
        <v>84</v>
      </c>
      <c r="C557" s="2" t="s">
        <v>1485</v>
      </c>
      <c r="D557" s="4">
        <v>46041</v>
      </c>
      <c r="E557" s="2" t="s">
        <v>1486</v>
      </c>
      <c r="G557" s="2" t="s">
        <v>67</v>
      </c>
      <c r="H557" s="2" t="s">
        <v>430</v>
      </c>
    </row>
    <row r="558" spans="1:9" x14ac:dyDescent="0.2">
      <c r="A558" s="2" t="s">
        <v>1487</v>
      </c>
      <c r="B558" s="2" t="s">
        <v>141</v>
      </c>
      <c r="C558" s="2" t="s">
        <v>1485</v>
      </c>
      <c r="D558" s="2" t="s">
        <v>1488</v>
      </c>
      <c r="E558" s="2" t="s">
        <v>1489</v>
      </c>
      <c r="G558" s="2" t="s">
        <v>114</v>
      </c>
      <c r="H558" s="2" t="s">
        <v>16</v>
      </c>
      <c r="I558" s="2" t="s">
        <v>58</v>
      </c>
    </row>
    <row r="559" spans="1:9" x14ac:dyDescent="0.2">
      <c r="A559" s="2" t="s">
        <v>1490</v>
      </c>
      <c r="B559" s="2" t="s">
        <v>272</v>
      </c>
      <c r="C559" s="2" t="s">
        <v>1491</v>
      </c>
      <c r="D559" s="2" t="s">
        <v>1492</v>
      </c>
      <c r="E559" s="2" t="s">
        <v>1493</v>
      </c>
      <c r="F559" s="2" t="s">
        <v>37</v>
      </c>
      <c r="G559" s="2" t="s">
        <v>254</v>
      </c>
      <c r="H559" s="2" t="s">
        <v>304</v>
      </c>
    </row>
    <row r="560" spans="1:9" x14ac:dyDescent="0.2">
      <c r="A560" s="2" t="s">
        <v>1494</v>
      </c>
      <c r="B560" s="2" t="s">
        <v>103</v>
      </c>
      <c r="C560" s="2" t="s">
        <v>1491</v>
      </c>
      <c r="D560" s="2" t="s">
        <v>1495</v>
      </c>
      <c r="E560" s="2" t="s">
        <v>1496</v>
      </c>
      <c r="G560" s="2" t="s">
        <v>23</v>
      </c>
      <c r="H560" s="2" t="s">
        <v>1401</v>
      </c>
      <c r="I560" s="2" t="s">
        <v>58</v>
      </c>
    </row>
    <row r="561" spans="1:9" x14ac:dyDescent="0.2">
      <c r="A561" s="2" t="s">
        <v>1234</v>
      </c>
      <c r="B561" s="2" t="s">
        <v>137</v>
      </c>
      <c r="C561" s="4">
        <v>45997</v>
      </c>
      <c r="D561" s="4">
        <v>46042</v>
      </c>
      <c r="E561" s="2" t="s">
        <v>1235</v>
      </c>
      <c r="F561" s="2" t="s">
        <v>37</v>
      </c>
      <c r="G561" s="2" t="s">
        <v>114</v>
      </c>
      <c r="H561" s="2" t="s">
        <v>1236</v>
      </c>
      <c r="I561" s="2" t="s">
        <v>17</v>
      </c>
    </row>
    <row r="562" spans="1:9" x14ac:dyDescent="0.2">
      <c r="A562" s="2" t="s">
        <v>1497</v>
      </c>
      <c r="B562" s="2" t="s">
        <v>398</v>
      </c>
      <c r="C562" s="4">
        <v>45997</v>
      </c>
      <c r="D562" s="2" t="s">
        <v>1498</v>
      </c>
      <c r="E562" s="2" t="s">
        <v>1499</v>
      </c>
      <c r="F562" s="2" t="s">
        <v>22</v>
      </c>
      <c r="G562" s="2" t="s">
        <v>15</v>
      </c>
      <c r="H562" s="2" t="s">
        <v>41</v>
      </c>
      <c r="I562" s="2" t="s">
        <v>64</v>
      </c>
    </row>
    <row r="563" spans="1:9" x14ac:dyDescent="0.2">
      <c r="A563" s="2" t="s">
        <v>1500</v>
      </c>
      <c r="B563" s="2" t="s">
        <v>614</v>
      </c>
      <c r="C563" s="2" t="s">
        <v>1501</v>
      </c>
      <c r="D563" s="4">
        <v>46013</v>
      </c>
      <c r="E563" s="2">
        <v>424.12</v>
      </c>
      <c r="F563" s="2" t="s">
        <v>37</v>
      </c>
      <c r="G563" s="2" t="s">
        <v>155</v>
      </c>
      <c r="H563" s="2" t="s">
        <v>68</v>
      </c>
    </row>
    <row r="564" spans="1:9" x14ac:dyDescent="0.2">
      <c r="A564" s="2" t="s">
        <v>444</v>
      </c>
      <c r="B564" s="2" t="s">
        <v>296</v>
      </c>
      <c r="C564" s="2" t="s">
        <v>445</v>
      </c>
      <c r="D564" s="2" t="s">
        <v>446</v>
      </c>
      <c r="E564" s="2" t="s">
        <v>447</v>
      </c>
      <c r="F564" s="2" t="s">
        <v>37</v>
      </c>
      <c r="G564" s="2" t="s">
        <v>299</v>
      </c>
      <c r="H564" s="2" t="s">
        <v>31</v>
      </c>
      <c r="I564" s="2" t="s">
        <v>64</v>
      </c>
    </row>
    <row r="565" spans="1:9" x14ac:dyDescent="0.2">
      <c r="A565" s="2" t="s">
        <v>444</v>
      </c>
      <c r="B565" s="2" t="s">
        <v>296</v>
      </c>
      <c r="C565" s="2" t="s">
        <v>445</v>
      </c>
      <c r="D565" s="2" t="s">
        <v>446</v>
      </c>
      <c r="E565" s="2" t="s">
        <v>447</v>
      </c>
      <c r="F565" s="2" t="s">
        <v>37</v>
      </c>
      <c r="G565" s="2" t="s">
        <v>299</v>
      </c>
      <c r="H565" s="2" t="s">
        <v>31</v>
      </c>
      <c r="I565" s="2" t="s">
        <v>64</v>
      </c>
    </row>
    <row r="566" spans="1:9" x14ac:dyDescent="0.2">
      <c r="A566" s="2" t="s">
        <v>1502</v>
      </c>
      <c r="B566" s="2" t="s">
        <v>103</v>
      </c>
      <c r="C566" s="2" t="s">
        <v>1503</v>
      </c>
      <c r="D566" s="4">
        <v>46044</v>
      </c>
      <c r="E566" s="2" t="s">
        <v>1504</v>
      </c>
      <c r="F566" s="2" t="s">
        <v>37</v>
      </c>
      <c r="G566" s="2" t="s">
        <v>63</v>
      </c>
      <c r="H566" s="2" t="s">
        <v>31</v>
      </c>
    </row>
    <row r="568" spans="1:9" x14ac:dyDescent="0.2">
      <c r="A568" s="2" t="s">
        <v>1505</v>
      </c>
      <c r="B568" s="2" t="s">
        <v>33</v>
      </c>
      <c r="C568" s="4">
        <v>46000</v>
      </c>
      <c r="D568" s="2" t="s">
        <v>1506</v>
      </c>
      <c r="E568" s="2">
        <v>26286.04</v>
      </c>
      <c r="F568" s="2" t="s">
        <v>22</v>
      </c>
      <c r="G568" s="2" t="s">
        <v>63</v>
      </c>
      <c r="H568" s="2" t="s">
        <v>16</v>
      </c>
      <c r="I568" s="2" t="s">
        <v>24</v>
      </c>
    </row>
    <row r="569" spans="1:9" x14ac:dyDescent="0.2">
      <c r="A569" s="2" t="s">
        <v>1507</v>
      </c>
      <c r="B569" s="2" t="s">
        <v>74</v>
      </c>
      <c r="C569" s="2" t="s">
        <v>1508</v>
      </c>
      <c r="D569" s="2" t="s">
        <v>1509</v>
      </c>
      <c r="E569" s="2">
        <v>5299.41</v>
      </c>
      <c r="F569" s="2" t="s">
        <v>37</v>
      </c>
      <c r="G569" s="2" t="s">
        <v>67</v>
      </c>
      <c r="H569" s="2" t="s">
        <v>430</v>
      </c>
      <c r="I569" s="2" t="s">
        <v>58</v>
      </c>
    </row>
    <row r="570" spans="1:9" x14ac:dyDescent="0.2">
      <c r="A570" s="2" t="s">
        <v>1510</v>
      </c>
      <c r="B570" s="2" t="s">
        <v>272</v>
      </c>
      <c r="C570" s="2" t="s">
        <v>1511</v>
      </c>
      <c r="D570" s="2" t="s">
        <v>1512</v>
      </c>
      <c r="E570" s="2" t="s">
        <v>1513</v>
      </c>
      <c r="F570" s="2" t="s">
        <v>37</v>
      </c>
      <c r="G570" s="2" t="s">
        <v>254</v>
      </c>
      <c r="H570" s="2" t="s">
        <v>82</v>
      </c>
    </row>
    <row r="571" spans="1:9" x14ac:dyDescent="0.2">
      <c r="A571" s="2" t="s">
        <v>1514</v>
      </c>
      <c r="B571" s="2" t="s">
        <v>116</v>
      </c>
      <c r="C571" s="4">
        <v>46002</v>
      </c>
      <c r="D571" s="4">
        <v>46047</v>
      </c>
      <c r="E571" s="2" t="s">
        <v>1515</v>
      </c>
      <c r="F571" s="2" t="s">
        <v>37</v>
      </c>
      <c r="H571" s="2" t="s">
        <v>583</v>
      </c>
      <c r="I571" s="2" t="s">
        <v>58</v>
      </c>
    </row>
    <row r="572" spans="1:9" x14ac:dyDescent="0.2">
      <c r="A572" s="2" t="s">
        <v>1516</v>
      </c>
      <c r="B572" s="2" t="s">
        <v>79</v>
      </c>
      <c r="C572" s="2" t="s">
        <v>1517</v>
      </c>
      <c r="D572" s="2" t="s">
        <v>1518</v>
      </c>
      <c r="E572" s="2" t="s">
        <v>1519</v>
      </c>
      <c r="F572" s="2" t="s">
        <v>37</v>
      </c>
      <c r="G572" s="2" t="s">
        <v>67</v>
      </c>
      <c r="H572" s="2" t="s">
        <v>1236</v>
      </c>
    </row>
    <row r="573" spans="1:9" x14ac:dyDescent="0.2">
      <c r="A573" s="2" t="s">
        <v>1520</v>
      </c>
      <c r="B573" s="2" t="s">
        <v>198</v>
      </c>
      <c r="C573" s="4">
        <v>46003</v>
      </c>
      <c r="D573" s="2" t="s">
        <v>1521</v>
      </c>
      <c r="E573" s="2" t="s">
        <v>1522</v>
      </c>
      <c r="F573" s="2" t="s">
        <v>37</v>
      </c>
      <c r="G573" s="2" t="s">
        <v>114</v>
      </c>
      <c r="H573" s="2" t="s">
        <v>583</v>
      </c>
    </row>
    <row r="574" spans="1:9" x14ac:dyDescent="0.2">
      <c r="A574" s="2" t="s">
        <v>1523</v>
      </c>
      <c r="B574" s="2" t="s">
        <v>614</v>
      </c>
      <c r="C574" s="4">
        <v>46004</v>
      </c>
      <c r="D574" s="2" t="s">
        <v>1524</v>
      </c>
      <c r="E574" s="2" t="s">
        <v>1525</v>
      </c>
      <c r="F574" s="2" t="s">
        <v>37</v>
      </c>
      <c r="G574" s="2" t="s">
        <v>97</v>
      </c>
      <c r="H574" s="2" t="s">
        <v>105</v>
      </c>
      <c r="I574" s="2" t="s">
        <v>24</v>
      </c>
    </row>
    <row r="575" spans="1:9" x14ac:dyDescent="0.2">
      <c r="A575" s="2" t="s">
        <v>1526</v>
      </c>
      <c r="B575" s="2" t="s">
        <v>74</v>
      </c>
      <c r="C575" s="4">
        <v>46004</v>
      </c>
      <c r="D575" s="2" t="s">
        <v>1527</v>
      </c>
      <c r="E575" s="2">
        <v>43255.47</v>
      </c>
      <c r="F575" s="2" t="s">
        <v>37</v>
      </c>
      <c r="G575" s="2" t="s">
        <v>23</v>
      </c>
      <c r="H575" s="2" t="s">
        <v>41</v>
      </c>
    </row>
    <row r="576" spans="1:9" x14ac:dyDescent="0.2">
      <c r="A576" s="2" t="s">
        <v>1528</v>
      </c>
      <c r="B576" s="2" t="s">
        <v>74</v>
      </c>
      <c r="C576" s="2" t="s">
        <v>1529</v>
      </c>
      <c r="D576" s="4">
        <v>46049</v>
      </c>
      <c r="E576" s="2" t="s">
        <v>1530</v>
      </c>
      <c r="F576" s="2" t="s">
        <v>22</v>
      </c>
      <c r="G576" s="2" t="s">
        <v>67</v>
      </c>
      <c r="H576" s="2" t="s">
        <v>1401</v>
      </c>
    </row>
    <row r="577" spans="1:9" x14ac:dyDescent="0.2">
      <c r="A577" s="2" t="s">
        <v>1531</v>
      </c>
      <c r="B577" s="2" t="s">
        <v>74</v>
      </c>
      <c r="C577" s="2" t="s">
        <v>1532</v>
      </c>
      <c r="D577" s="4">
        <v>46049</v>
      </c>
      <c r="E577" s="2" t="s">
        <v>1533</v>
      </c>
      <c r="F577" s="2" t="s">
        <v>37</v>
      </c>
      <c r="G577" s="2" t="s">
        <v>23</v>
      </c>
      <c r="H577" s="2" t="s">
        <v>430</v>
      </c>
      <c r="I577" s="2" t="s">
        <v>64</v>
      </c>
    </row>
    <row r="578" spans="1:9" x14ac:dyDescent="0.2">
      <c r="A578" s="2" t="s">
        <v>1534</v>
      </c>
      <c r="B578" s="2" t="s">
        <v>84</v>
      </c>
      <c r="C578" s="2" t="s">
        <v>1535</v>
      </c>
      <c r="D578" s="4">
        <v>46050</v>
      </c>
      <c r="E578" s="2" t="s">
        <v>1536</v>
      </c>
      <c r="F578" s="2" t="s">
        <v>37</v>
      </c>
      <c r="G578" s="2" t="s">
        <v>23</v>
      </c>
      <c r="H578" s="2" t="s">
        <v>583</v>
      </c>
      <c r="I578" s="2" t="s">
        <v>24</v>
      </c>
    </row>
    <row r="579" spans="1:9" x14ac:dyDescent="0.2">
      <c r="A579" s="2" t="s">
        <v>1537</v>
      </c>
      <c r="B579" s="2" t="s">
        <v>12</v>
      </c>
      <c r="C579" s="2" t="s">
        <v>1538</v>
      </c>
      <c r="D579" s="4">
        <v>46020</v>
      </c>
      <c r="E579" s="2">
        <v>461.64</v>
      </c>
      <c r="F579" s="2" t="s">
        <v>29</v>
      </c>
      <c r="G579" s="2" t="s">
        <v>15</v>
      </c>
      <c r="H579" s="2" t="s">
        <v>31</v>
      </c>
      <c r="I579" s="2" t="s">
        <v>64</v>
      </c>
    </row>
    <row r="580" spans="1:9" x14ac:dyDescent="0.2">
      <c r="A580" s="2" t="s">
        <v>1539</v>
      </c>
      <c r="B580" s="2" t="s">
        <v>26</v>
      </c>
      <c r="C580" s="2" t="s">
        <v>1540</v>
      </c>
      <c r="D580" s="2" t="s">
        <v>1541</v>
      </c>
      <c r="E580" s="2" t="s">
        <v>1542</v>
      </c>
      <c r="F580" s="2" t="s">
        <v>37</v>
      </c>
      <c r="G580" s="2" t="s">
        <v>30</v>
      </c>
      <c r="H580" s="2" t="s">
        <v>1236</v>
      </c>
    </row>
    <row r="581" spans="1:9" x14ac:dyDescent="0.2">
      <c r="A581" s="2" t="s">
        <v>1543</v>
      </c>
      <c r="B581" s="2" t="s">
        <v>308</v>
      </c>
      <c r="C581" s="2" t="s">
        <v>1544</v>
      </c>
      <c r="D581" s="2" t="s">
        <v>1545</v>
      </c>
      <c r="E581" s="2" t="s">
        <v>1546</v>
      </c>
      <c r="F581" s="2" t="s">
        <v>37</v>
      </c>
      <c r="G581" s="2" t="s">
        <v>254</v>
      </c>
      <c r="H581" s="2" t="s">
        <v>304</v>
      </c>
      <c r="I581" s="2" t="s">
        <v>24</v>
      </c>
    </row>
    <row r="582" spans="1:9" x14ac:dyDescent="0.2">
      <c r="A582" s="2" t="s">
        <v>1547</v>
      </c>
      <c r="B582" s="2" t="s">
        <v>33</v>
      </c>
      <c r="C582" s="2" t="s">
        <v>477</v>
      </c>
      <c r="D582" s="2" t="s">
        <v>474</v>
      </c>
      <c r="E582" s="2" t="s">
        <v>478</v>
      </c>
      <c r="F582" s="2" t="s">
        <v>22</v>
      </c>
      <c r="G582" s="2" t="s">
        <v>67</v>
      </c>
      <c r="H582" s="2" t="s">
        <v>105</v>
      </c>
      <c r="I582" s="2" t="s">
        <v>58</v>
      </c>
    </row>
    <row r="583" spans="1:9" x14ac:dyDescent="0.2">
      <c r="A583" s="2" t="s">
        <v>1548</v>
      </c>
      <c r="B583" s="2" t="s">
        <v>267</v>
      </c>
      <c r="C583" s="4">
        <v>46006</v>
      </c>
      <c r="D583" s="4">
        <v>46036</v>
      </c>
      <c r="E583" s="2" t="s">
        <v>1549</v>
      </c>
      <c r="F583" s="2" t="s">
        <v>37</v>
      </c>
      <c r="G583" s="2" t="s">
        <v>94</v>
      </c>
      <c r="H583" s="2" t="s">
        <v>583</v>
      </c>
      <c r="I583" s="2" t="s">
        <v>17</v>
      </c>
    </row>
    <row r="584" spans="1:9" x14ac:dyDescent="0.2">
      <c r="A584" s="2" t="s">
        <v>1550</v>
      </c>
      <c r="B584" s="2" t="s">
        <v>79</v>
      </c>
      <c r="C584" s="4">
        <v>46006</v>
      </c>
      <c r="D584" s="2" t="s">
        <v>1551</v>
      </c>
      <c r="E584" s="2" t="s">
        <v>1552</v>
      </c>
      <c r="F584" s="2" t="s">
        <v>37</v>
      </c>
      <c r="G584" s="2" t="s">
        <v>23</v>
      </c>
      <c r="H584" s="2" t="s">
        <v>430</v>
      </c>
    </row>
    <row r="585" spans="1:9" x14ac:dyDescent="0.2">
      <c r="A585" s="2" t="s">
        <v>1553</v>
      </c>
      <c r="B585" s="2" t="s">
        <v>157</v>
      </c>
      <c r="C585" s="4">
        <v>46007</v>
      </c>
      <c r="D585" s="2" t="s">
        <v>1554</v>
      </c>
      <c r="E585" s="2" t="s">
        <v>1555</v>
      </c>
      <c r="F585" s="2" t="s">
        <v>37</v>
      </c>
      <c r="H585" s="2" t="s">
        <v>583</v>
      </c>
    </row>
    <row r="586" spans="1:9" x14ac:dyDescent="0.2">
      <c r="A586" s="2" t="s">
        <v>1556</v>
      </c>
      <c r="B586" s="2" t="s">
        <v>132</v>
      </c>
      <c r="C586" s="2" t="s">
        <v>1557</v>
      </c>
      <c r="D586" s="4">
        <v>46037</v>
      </c>
      <c r="E586" s="2">
        <v>4187.8</v>
      </c>
      <c r="F586" s="2" t="s">
        <v>37</v>
      </c>
      <c r="G586" s="2" t="s">
        <v>94</v>
      </c>
      <c r="H586" s="2" t="s">
        <v>1236</v>
      </c>
    </row>
    <row r="587" spans="1:9" x14ac:dyDescent="0.2">
      <c r="A587" s="2" t="s">
        <v>1558</v>
      </c>
      <c r="B587" s="2" t="s">
        <v>74</v>
      </c>
      <c r="C587" s="4">
        <v>46008</v>
      </c>
      <c r="D587" s="4">
        <v>46053</v>
      </c>
      <c r="E587" s="2" t="s">
        <v>1559</v>
      </c>
      <c r="F587" s="2" t="s">
        <v>37</v>
      </c>
      <c r="G587" s="2" t="s">
        <v>114</v>
      </c>
      <c r="H587" s="2" t="s">
        <v>583</v>
      </c>
    </row>
    <row r="588" spans="1:9" x14ac:dyDescent="0.2">
      <c r="A588" s="2" t="s">
        <v>1560</v>
      </c>
      <c r="B588" s="2" t="s">
        <v>39</v>
      </c>
      <c r="C588" s="2" t="s">
        <v>1561</v>
      </c>
      <c r="D588" s="2" t="s">
        <v>1562</v>
      </c>
      <c r="E588" s="2" t="s">
        <v>1563</v>
      </c>
      <c r="G588" s="2" t="s">
        <v>210</v>
      </c>
      <c r="H588" s="2" t="s">
        <v>583</v>
      </c>
      <c r="I588" s="2" t="s">
        <v>24</v>
      </c>
    </row>
    <row r="589" spans="1:9" x14ac:dyDescent="0.2">
      <c r="A589" s="2" t="s">
        <v>1564</v>
      </c>
      <c r="B589" s="2" t="s">
        <v>198</v>
      </c>
      <c r="C589" s="2" t="s">
        <v>1565</v>
      </c>
      <c r="D589" s="2" t="s">
        <v>1566</v>
      </c>
      <c r="E589" s="2" t="s">
        <v>1567</v>
      </c>
      <c r="F589" s="2" t="s">
        <v>37</v>
      </c>
      <c r="G589" s="2" t="s">
        <v>23</v>
      </c>
      <c r="H589" s="2" t="s">
        <v>1401</v>
      </c>
    </row>
    <row r="590" spans="1:9" x14ac:dyDescent="0.2">
      <c r="A590" s="2" t="s">
        <v>1568</v>
      </c>
      <c r="B590" s="2" t="s">
        <v>198</v>
      </c>
      <c r="C590" s="2" t="s">
        <v>1569</v>
      </c>
      <c r="D590" s="4">
        <v>46055</v>
      </c>
      <c r="E590" s="2" t="s">
        <v>1570</v>
      </c>
      <c r="F590" s="2" t="s">
        <v>37</v>
      </c>
      <c r="G590" s="2" t="s">
        <v>23</v>
      </c>
      <c r="H590" s="2" t="s">
        <v>1236</v>
      </c>
      <c r="I590" s="2" t="s">
        <v>58</v>
      </c>
    </row>
    <row r="591" spans="1:9" x14ac:dyDescent="0.2">
      <c r="A591" s="2" t="s">
        <v>1571</v>
      </c>
      <c r="B591" s="2" t="s">
        <v>141</v>
      </c>
      <c r="C591" s="2" t="s">
        <v>1572</v>
      </c>
      <c r="D591" s="2" t="s">
        <v>1573</v>
      </c>
      <c r="E591" s="2" t="s">
        <v>1574</v>
      </c>
      <c r="F591" s="2" t="s">
        <v>37</v>
      </c>
      <c r="G591" s="2" t="s">
        <v>67</v>
      </c>
      <c r="H591" s="2" t="s">
        <v>1401</v>
      </c>
    </row>
    <row r="592" spans="1:9" x14ac:dyDescent="0.2">
      <c r="A592" s="2" t="s">
        <v>1432</v>
      </c>
      <c r="B592" s="2" t="s">
        <v>60</v>
      </c>
      <c r="C592" s="4">
        <v>45983</v>
      </c>
      <c r="D592" s="2" t="s">
        <v>1433</v>
      </c>
      <c r="E592" s="2" t="s">
        <v>1434</v>
      </c>
      <c r="F592" s="2" t="s">
        <v>37</v>
      </c>
      <c r="G592" s="2" t="s">
        <v>63</v>
      </c>
      <c r="H592" s="2" t="s">
        <v>31</v>
      </c>
      <c r="I592" s="2" t="s">
        <v>24</v>
      </c>
    </row>
    <row r="593" spans="1:9" x14ac:dyDescent="0.2">
      <c r="A593" s="2" t="s">
        <v>1575</v>
      </c>
      <c r="B593" s="2" t="s">
        <v>19</v>
      </c>
      <c r="C593" s="2" t="s">
        <v>1576</v>
      </c>
      <c r="D593" s="4">
        <v>46056</v>
      </c>
      <c r="E593" s="2">
        <v>17925.28</v>
      </c>
      <c r="F593" s="2" t="s">
        <v>37</v>
      </c>
      <c r="G593" s="2" t="s">
        <v>63</v>
      </c>
      <c r="H593" s="2" t="s">
        <v>1401</v>
      </c>
    </row>
    <row r="594" spans="1:9" x14ac:dyDescent="0.2">
      <c r="A594" s="2" t="s">
        <v>527</v>
      </c>
      <c r="B594" s="2" t="s">
        <v>116</v>
      </c>
      <c r="C594" s="2" t="s">
        <v>528</v>
      </c>
      <c r="D594" s="2" t="s">
        <v>529</v>
      </c>
      <c r="E594" s="2" t="s">
        <v>530</v>
      </c>
      <c r="F594" s="2" t="s">
        <v>37</v>
      </c>
      <c r="G594" s="2" t="s">
        <v>67</v>
      </c>
      <c r="H594" s="2" t="s">
        <v>430</v>
      </c>
      <c r="I594" s="2" t="s">
        <v>64</v>
      </c>
    </row>
    <row r="595" spans="1:9" x14ac:dyDescent="0.2">
      <c r="B595" s="2" t="s">
        <v>1577</v>
      </c>
      <c r="E595" s="2" t="s">
        <v>1578</v>
      </c>
    </row>
    <row r="596" spans="1:9" x14ac:dyDescent="0.2">
      <c r="A596" s="2" t="s">
        <v>1579</v>
      </c>
      <c r="B596" s="2" t="s">
        <v>137</v>
      </c>
      <c r="C596" s="4">
        <v>46011</v>
      </c>
      <c r="D596" s="4">
        <v>46056</v>
      </c>
      <c r="E596" s="2" t="s">
        <v>1580</v>
      </c>
      <c r="F596" s="2" t="s">
        <v>37</v>
      </c>
      <c r="G596" s="2" t="s">
        <v>23</v>
      </c>
      <c r="H596" s="2" t="s">
        <v>430</v>
      </c>
      <c r="I596" s="2" t="s">
        <v>17</v>
      </c>
    </row>
    <row r="597" spans="1:9" x14ac:dyDescent="0.2">
      <c r="A597" s="2" t="s">
        <v>1581</v>
      </c>
      <c r="B597" s="2" t="s">
        <v>19</v>
      </c>
      <c r="C597" s="2" t="s">
        <v>1582</v>
      </c>
      <c r="D597" s="4">
        <v>46057</v>
      </c>
      <c r="E597" s="2" t="s">
        <v>1583</v>
      </c>
      <c r="F597" s="2" t="s">
        <v>37</v>
      </c>
      <c r="G597" s="2" t="s">
        <v>114</v>
      </c>
      <c r="H597" s="2" t="s">
        <v>1236</v>
      </c>
    </row>
    <row r="598" spans="1:9" x14ac:dyDescent="0.2">
      <c r="A598" s="2" t="s">
        <v>1584</v>
      </c>
      <c r="B598" s="2" t="s">
        <v>137</v>
      </c>
      <c r="C598" s="2" t="s">
        <v>1438</v>
      </c>
      <c r="D598" s="2" t="s">
        <v>1585</v>
      </c>
      <c r="E598" s="2">
        <v>41641.78</v>
      </c>
      <c r="F598" s="2" t="s">
        <v>37</v>
      </c>
      <c r="G598" s="2" t="s">
        <v>114</v>
      </c>
      <c r="H598" s="2" t="s">
        <v>1401</v>
      </c>
      <c r="I598" s="2" t="s">
        <v>64</v>
      </c>
    </row>
    <row r="599" spans="1:9" x14ac:dyDescent="0.2">
      <c r="A599" s="2" t="s">
        <v>1586</v>
      </c>
      <c r="B599" s="2" t="s">
        <v>33</v>
      </c>
      <c r="C599" s="4">
        <v>46013</v>
      </c>
      <c r="D599" s="2" t="s">
        <v>1585</v>
      </c>
      <c r="E599" s="2" t="s">
        <v>1587</v>
      </c>
      <c r="H599" s="2" t="s">
        <v>430</v>
      </c>
      <c r="I599" s="2" t="s">
        <v>64</v>
      </c>
    </row>
    <row r="600" spans="1:9" x14ac:dyDescent="0.2">
      <c r="A600" s="2" t="s">
        <v>1588</v>
      </c>
      <c r="B600" s="2" t="s">
        <v>103</v>
      </c>
      <c r="C600" s="2" t="s">
        <v>1589</v>
      </c>
      <c r="D600" s="2" t="s">
        <v>1590</v>
      </c>
      <c r="E600" s="2">
        <v>30879.94</v>
      </c>
      <c r="F600" s="2" t="s">
        <v>37</v>
      </c>
      <c r="G600" s="2" t="s">
        <v>67</v>
      </c>
      <c r="H600" s="2" t="s">
        <v>1236</v>
      </c>
      <c r="I600" s="2" t="s">
        <v>58</v>
      </c>
    </row>
    <row r="601" spans="1:9" x14ac:dyDescent="0.2">
      <c r="A601" s="2" t="s">
        <v>1591</v>
      </c>
      <c r="B601" s="2" t="s">
        <v>90</v>
      </c>
      <c r="C601" s="2" t="s">
        <v>1592</v>
      </c>
      <c r="D601" s="4">
        <v>46044</v>
      </c>
      <c r="E601" s="2" t="s">
        <v>1593</v>
      </c>
      <c r="F601" s="2" t="s">
        <v>29</v>
      </c>
      <c r="G601" s="2" t="s">
        <v>94</v>
      </c>
      <c r="H601" s="2" t="s">
        <v>583</v>
      </c>
    </row>
    <row r="602" spans="1:9" x14ac:dyDescent="0.2">
      <c r="A602" s="2" t="s">
        <v>1594</v>
      </c>
      <c r="B602" s="2" t="s">
        <v>26</v>
      </c>
      <c r="C602" s="2" t="s">
        <v>1380</v>
      </c>
      <c r="D602" s="4">
        <v>46045</v>
      </c>
      <c r="E602" s="2" t="s">
        <v>1595</v>
      </c>
      <c r="F602" s="2" t="s">
        <v>37</v>
      </c>
      <c r="G602" s="2" t="s">
        <v>30</v>
      </c>
      <c r="H602" s="2" t="s">
        <v>1236</v>
      </c>
      <c r="I602" s="2" t="s">
        <v>17</v>
      </c>
    </row>
    <row r="604" spans="1:9" x14ac:dyDescent="0.2">
      <c r="A604" s="2" t="s">
        <v>1596</v>
      </c>
      <c r="B604" s="2" t="s">
        <v>43</v>
      </c>
      <c r="C604" s="2" t="s">
        <v>1597</v>
      </c>
      <c r="D604" s="2" t="s">
        <v>1598</v>
      </c>
      <c r="E604" s="2" t="s">
        <v>1599</v>
      </c>
      <c r="F604" s="2" t="s">
        <v>37</v>
      </c>
      <c r="G604" s="2" t="s">
        <v>210</v>
      </c>
      <c r="H604" s="2" t="s">
        <v>41</v>
      </c>
    </row>
    <row r="605" spans="1:9" x14ac:dyDescent="0.2">
      <c r="A605" s="2" t="s">
        <v>1600</v>
      </c>
      <c r="B605" s="2" t="s">
        <v>48</v>
      </c>
      <c r="C605" s="2" t="s">
        <v>1597</v>
      </c>
      <c r="D605" s="2" t="s">
        <v>1601</v>
      </c>
      <c r="E605" s="2" t="s">
        <v>1602</v>
      </c>
      <c r="F605" s="2" t="s">
        <v>14</v>
      </c>
      <c r="H605" s="2" t="s">
        <v>1401</v>
      </c>
    </row>
    <row r="606" spans="1:9" x14ac:dyDescent="0.2">
      <c r="A606" s="2" t="s">
        <v>1603</v>
      </c>
      <c r="B606" s="2" t="s">
        <v>74</v>
      </c>
      <c r="C606" s="2" t="s">
        <v>581</v>
      </c>
      <c r="D606" s="4">
        <v>46062</v>
      </c>
      <c r="E606" s="2" t="s">
        <v>582</v>
      </c>
      <c r="F606" s="2" t="s">
        <v>37</v>
      </c>
      <c r="G606" s="2" t="s">
        <v>63</v>
      </c>
      <c r="H606" s="2" t="s">
        <v>583</v>
      </c>
    </row>
    <row r="607" spans="1:9" x14ac:dyDescent="0.2">
      <c r="A607" s="2" t="s">
        <v>1604</v>
      </c>
      <c r="B607" s="2" t="s">
        <v>74</v>
      </c>
      <c r="C607" s="2" t="s">
        <v>1388</v>
      </c>
      <c r="D607" s="4">
        <v>46064</v>
      </c>
      <c r="E607" s="2">
        <v>24832.42</v>
      </c>
      <c r="F607" s="2" t="s">
        <v>14</v>
      </c>
      <c r="G607" s="2" t="s">
        <v>114</v>
      </c>
      <c r="H607" s="2" t="s">
        <v>31</v>
      </c>
    </row>
    <row r="608" spans="1:9" x14ac:dyDescent="0.2">
      <c r="A608" s="2" t="s">
        <v>1605</v>
      </c>
      <c r="B608" s="2" t="s">
        <v>53</v>
      </c>
      <c r="C608" s="4">
        <v>46020</v>
      </c>
      <c r="D608" s="4">
        <v>46050</v>
      </c>
      <c r="E608" s="2">
        <v>2109.44</v>
      </c>
      <c r="F608" s="2" t="s">
        <v>29</v>
      </c>
      <c r="G608" s="2" t="s">
        <v>57</v>
      </c>
      <c r="H608" s="2" t="s">
        <v>430</v>
      </c>
    </row>
    <row r="609" spans="1:9" x14ac:dyDescent="0.2">
      <c r="A609" s="2" t="s">
        <v>1606</v>
      </c>
      <c r="B609" s="2" t="s">
        <v>308</v>
      </c>
      <c r="C609" s="4">
        <v>46022</v>
      </c>
      <c r="D609" s="2" t="s">
        <v>1607</v>
      </c>
      <c r="E609" s="2">
        <v>3920.6</v>
      </c>
      <c r="F609" s="2" t="s">
        <v>37</v>
      </c>
      <c r="G609" s="2" t="s">
        <v>312</v>
      </c>
      <c r="H609" s="2" t="s">
        <v>16</v>
      </c>
      <c r="I609" s="2" t="s">
        <v>17</v>
      </c>
    </row>
    <row r="610" spans="1:9" x14ac:dyDescent="0.2">
      <c r="A610" s="2" t="s">
        <v>1608</v>
      </c>
      <c r="B610" s="2" t="s">
        <v>165</v>
      </c>
      <c r="C610" s="2" t="s">
        <v>1609</v>
      </c>
      <c r="D610" s="2" t="s">
        <v>1554</v>
      </c>
      <c r="E610" s="2" t="s">
        <v>1610</v>
      </c>
      <c r="F610" s="2" t="s">
        <v>37</v>
      </c>
      <c r="G610" s="2" t="s">
        <v>210</v>
      </c>
      <c r="H610" s="2" t="s">
        <v>430</v>
      </c>
    </row>
    <row r="612" spans="1:9" x14ac:dyDescent="0.2">
      <c r="A612" s="2" t="s">
        <v>1611</v>
      </c>
    </row>
    <row r="613" spans="1:9" x14ac:dyDescent="0.2">
      <c r="A613" s="2" t="s">
        <v>1612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32C3A-2993-7346-80D8-96D2D055668B}">
  <sheetPr>
    <tabColor theme="6"/>
  </sheetPr>
  <dimension ref="A1:C17"/>
  <sheetViews>
    <sheetView showGridLines="0" workbookViewId="0">
      <selection activeCell="C16" sqref="C16"/>
    </sheetView>
  </sheetViews>
  <sheetFormatPr baseColWidth="10" defaultRowHeight="24" x14ac:dyDescent="0.3"/>
  <cols>
    <col min="1" max="1" width="22.33203125" style="5" customWidth="1"/>
    <col min="2" max="16384" width="10.83203125" style="5"/>
  </cols>
  <sheetData>
    <row r="1" spans="1:3" x14ac:dyDescent="0.3">
      <c r="A1" s="5" t="e" cm="1" vm="1">
        <f t="array" ref="A1">_xlfn._xlws.PY(0,1,AP_Export!A4:I613)</f>
        <v>#VALUE!</v>
      </c>
      <c r="C1" s="5" t="s">
        <v>1613</v>
      </c>
    </row>
    <row r="3" spans="1:3" x14ac:dyDescent="0.3">
      <c r="A3" s="6" t="e" cm="1" vm="2">
        <f t="array" ref="A3">_xlfn._xlws.PY(1,1)</f>
        <v>#VALUE!</v>
      </c>
      <c r="C3" s="5" t="s">
        <v>1614</v>
      </c>
    </row>
    <row r="5" spans="1:3" x14ac:dyDescent="0.3">
      <c r="A5" s="5" cm="1" vm="3">
        <f t="array" ref="A5">_xlfn._xlws.PY(2,1)</f>
        <v>560</v>
      </c>
      <c r="C5" s="5" t="s">
        <v>1615</v>
      </c>
    </row>
    <row r="7" spans="1:3" x14ac:dyDescent="0.3">
      <c r="A7" s="5" t="e" cm="1" vm="4">
        <f t="array" ref="A7">_xlfn._xlws.PY(3,1)</f>
        <v>#VALUE!</v>
      </c>
      <c r="C7" s="5" t="s">
        <v>1616</v>
      </c>
    </row>
    <row r="9" spans="1:3" x14ac:dyDescent="0.3">
      <c r="A9" s="5" t="e" cm="1" vm="5">
        <f t="array" ref="A9">_xlfn._xlws.PY(4,1)</f>
        <v>#VALUE!</v>
      </c>
      <c r="C9" s="5" t="s">
        <v>1617</v>
      </c>
    </row>
    <row r="11" spans="1:3" x14ac:dyDescent="0.3">
      <c r="A11" s="5" t="e" cm="1" vm="6">
        <f t="array" ref="A11">_xlfn._xlws.PY(5,1)</f>
        <v>#VALUE!</v>
      </c>
      <c r="C11" s="5" t="s">
        <v>1618</v>
      </c>
    </row>
    <row r="13" spans="1:3" x14ac:dyDescent="0.3">
      <c r="A13" s="5" t="e" cm="1" vm="7">
        <f t="array" ref="A13">_xlfn._xlws.PY(6,1)</f>
        <v>#VALUE!</v>
      </c>
      <c r="C13" s="5" t="s">
        <v>1619</v>
      </c>
    </row>
    <row r="15" spans="1:3" x14ac:dyDescent="0.3">
      <c r="A15" s="5" t="e" cm="1" vm="8">
        <f t="array" ref="A15">_xlfn._xlws.PY(7,1)</f>
        <v>#VALUE!</v>
      </c>
      <c r="C15" s="5" t="s">
        <v>1620</v>
      </c>
    </row>
    <row r="17" spans="1:3" x14ac:dyDescent="0.3">
      <c r="A17" s="5" t="e" cm="1" vm="9">
        <f t="array" ref="A17">_xlfn._xlws.PY(8,1)</f>
        <v>#VALUE!</v>
      </c>
      <c r="C17" s="5" t="s">
        <v>1621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D4304-067F-C746-A0E6-F63F6353CFDC}">
  <sheetPr>
    <tabColor theme="3"/>
  </sheetPr>
  <dimension ref="A1:I561"/>
  <sheetViews>
    <sheetView showGridLines="0" workbookViewId="0">
      <selection activeCell="A23" sqref="A23"/>
    </sheetView>
  </sheetViews>
  <sheetFormatPr baseColWidth="10" defaultRowHeight="15" x14ac:dyDescent="0.2"/>
  <cols>
    <col min="1" max="9" width="18.33203125" customWidth="1"/>
  </cols>
  <sheetData>
    <row r="1" spans="1:9" x14ac:dyDescent="0.2">
      <c r="A1" t="str" cm="1">
        <f t="array" ref="A1:I561">_xlfn._xlws.PY(9,0)</f>
        <v>Invoice No</v>
      </c>
      <c r="B1" t="str">
        <v>Vendor</v>
      </c>
      <c r="C1" t="str">
        <v>Invoice Date</v>
      </c>
      <c r="D1" t="str">
        <v>Due Date</v>
      </c>
      <c r="E1" t="str">
        <v>Amount</v>
      </c>
      <c r="F1" t="str">
        <v>Currency</v>
      </c>
      <c r="G1" t="str">
        <v>Category</v>
      </c>
      <c r="H1" t="str">
        <v>Status</v>
      </c>
      <c r="I1" t="str">
        <v>Notes</v>
      </c>
    </row>
    <row r="2" spans="1:9" x14ac:dyDescent="0.2">
      <c r="A2" t="str">
        <v>INV-20250228</v>
      </c>
      <c r="B2" t="str">
        <v>BlueRiver Software</v>
      </c>
      <c r="C2" vm="10">
        <v>45658</v>
      </c>
      <c r="D2" vm="11">
        <v>45673</v>
      </c>
      <c r="E2">
        <v>1451.82</v>
      </c>
      <c r="F2" t="str">
        <v>USD</v>
      </c>
      <c r="G2" t="str">
        <v>Software</v>
      </c>
      <c r="H2" t="str">
        <v>Paid</v>
      </c>
      <c r="I2" t="str">
        <v>partial shipment</v>
      </c>
    </row>
    <row r="3" spans="1:9" x14ac:dyDescent="0.2">
      <c r="A3" t="str">
        <v>INV-20250554</v>
      </c>
      <c r="B3" t="str">
        <v>Riverbend Fasteners Co.</v>
      </c>
      <c r="C3" vm="10">
        <v>45658</v>
      </c>
      <c r="D3" vm="12">
        <v>45703</v>
      </c>
      <c r="E3">
        <v>24832.69</v>
      </c>
      <c r="F3" t="str">
        <v>USD</v>
      </c>
      <c r="G3" t="str">
        <v>Inventory</v>
      </c>
      <c r="H3" t="str">
        <v>Paid</v>
      </c>
      <c r="I3" t="str">
        <v>approved by JM</v>
      </c>
    </row>
    <row r="4" spans="1:9" x14ac:dyDescent="0.2">
      <c r="A4" t="str">
        <v>INV-20250263</v>
      </c>
      <c r="B4" t="str">
        <v>Northgate Marketing Group</v>
      </c>
      <c r="C4" vm="13">
        <v>45659</v>
      </c>
      <c r="D4" vm="14">
        <v>45689</v>
      </c>
      <c r="E4">
        <v>14984.27</v>
      </c>
      <c r="F4" t="str">
        <v>USD</v>
      </c>
      <c r="G4" t="str">
        <v>Marketing</v>
      </c>
      <c r="H4" t="str">
        <v>Paid</v>
      </c>
      <c r="I4" t="str">
        <v/>
      </c>
    </row>
    <row r="5" spans="1:9" x14ac:dyDescent="0.2">
      <c r="A5" t="str">
        <v>INV-20250382</v>
      </c>
      <c r="B5" t="str">
        <v>Timberline Mills</v>
      </c>
      <c r="C5" vm="15">
        <v>45660</v>
      </c>
      <c r="D5" vm="16">
        <v>45705</v>
      </c>
      <c r="E5">
        <v>22058.38</v>
      </c>
      <c r="F5" t="str">
        <v>USD</v>
      </c>
      <c r="G5" t="str">
        <v>Inventory</v>
      </c>
      <c r="H5" t="str">
        <v>Paid</v>
      </c>
      <c r="I5" t="str">
        <v/>
      </c>
    </row>
    <row r="6" spans="1:9" x14ac:dyDescent="0.2">
      <c r="A6" t="str">
        <v>INV-20250130</v>
      </c>
      <c r="B6" t="str">
        <v>Pacific Freight Lines Inc.</v>
      </c>
      <c r="C6" vm="17">
        <v>45661</v>
      </c>
      <c r="D6" vm="18">
        <v>45691</v>
      </c>
      <c r="E6">
        <v>7356.22</v>
      </c>
      <c r="F6" t="str">
        <v>USD</v>
      </c>
      <c r="G6" t="str">
        <v>Freight</v>
      </c>
      <c r="H6" t="str">
        <v>Paid</v>
      </c>
      <c r="I6" t="str">
        <v/>
      </c>
    </row>
    <row r="7" spans="1:9" x14ac:dyDescent="0.2">
      <c r="A7" t="str">
        <v>INV-20250413</v>
      </c>
      <c r="B7" t="str">
        <v>Pacific Freight Lines Inc.</v>
      </c>
      <c r="C7" vm="17">
        <v>45661</v>
      </c>
      <c r="D7" vm="18">
        <v>45691</v>
      </c>
      <c r="E7">
        <v>8769.5300000000007</v>
      </c>
      <c r="F7" t="str">
        <v>USD</v>
      </c>
      <c r="G7" t="str">
        <v>Freight</v>
      </c>
      <c r="H7" t="str">
        <v>Paid</v>
      </c>
      <c r="I7" t="str">
        <v/>
      </c>
    </row>
    <row r="8" spans="1:9" x14ac:dyDescent="0.2">
      <c r="A8" t="str">
        <v>INV-20250162</v>
      </c>
      <c r="B8" t="str">
        <v>Pacific Freight Lines Inc.</v>
      </c>
      <c r="C8" vm="19">
        <v>45663</v>
      </c>
      <c r="D8" vm="20">
        <v>45693</v>
      </c>
      <c r="E8">
        <v>7532.55</v>
      </c>
      <c r="F8" t="str">
        <v>USD</v>
      </c>
      <c r="G8" t="str">
        <v>Freight</v>
      </c>
      <c r="H8" t="str">
        <v>Paid</v>
      </c>
      <c r="I8" t="str">
        <v/>
      </c>
    </row>
    <row r="9" spans="1:9" x14ac:dyDescent="0.2">
      <c r="A9" t="str">
        <v>INV-20250103</v>
      </c>
      <c r="B9" t="str">
        <v>Pacific Freight Lines Inc.</v>
      </c>
      <c r="C9" vm="21">
        <v>45664</v>
      </c>
      <c r="D9" vm="22">
        <v>45694</v>
      </c>
      <c r="E9">
        <v>8202.69</v>
      </c>
      <c r="F9" t="str">
        <v>USD</v>
      </c>
      <c r="G9" t="str">
        <v>Freight</v>
      </c>
      <c r="H9" t="str">
        <v>Paid</v>
      </c>
      <c r="I9" t="str">
        <v>see email</v>
      </c>
    </row>
    <row r="10" spans="1:9" x14ac:dyDescent="0.2">
      <c r="A10" t="str">
        <v>INV-20250204</v>
      </c>
      <c r="B10" t="str">
        <v>Timberline Mills</v>
      </c>
      <c r="C10" vm="21">
        <v>45664</v>
      </c>
      <c r="D10" vm="23">
        <v>45709</v>
      </c>
      <c r="E10">
        <v>30956.14</v>
      </c>
      <c r="F10" t="str">
        <v>USD</v>
      </c>
      <c r="G10" t="str">
        <v>Inventory</v>
      </c>
      <c r="H10" t="str">
        <v>Paid</v>
      </c>
      <c r="I10" t="str">
        <v>rush</v>
      </c>
    </row>
    <row r="11" spans="1:9" x14ac:dyDescent="0.2">
      <c r="A11" t="str">
        <v>INV-20250071</v>
      </c>
      <c r="B11" t="str">
        <v>Timberline Mills</v>
      </c>
      <c r="C11" vm="24">
        <v>45665</v>
      </c>
      <c r="D11" vm="25">
        <v>45710</v>
      </c>
      <c r="E11">
        <v>4811.09</v>
      </c>
      <c r="F11" t="str">
        <v>USD</v>
      </c>
      <c r="G11" t="str">
        <v>Inventory</v>
      </c>
      <c r="H11" t="str">
        <v>Overdue</v>
      </c>
      <c r="I11" t="str">
        <v/>
      </c>
    </row>
    <row r="12" spans="1:9" x14ac:dyDescent="0.2">
      <c r="A12" t="str">
        <v>INV-20250341</v>
      </c>
      <c r="B12" t="str">
        <v>Riverbend Fasteners Co.</v>
      </c>
      <c r="C12" vm="26">
        <v>45666</v>
      </c>
      <c r="D12" vm="27">
        <v>45711</v>
      </c>
      <c r="E12">
        <v>23452.82</v>
      </c>
      <c r="F12" t="str">
        <v>USD</v>
      </c>
      <c r="G12" t="str">
        <v>Inventory</v>
      </c>
      <c r="H12" t="str">
        <v>Paid</v>
      </c>
      <c r="I12" t="str">
        <v/>
      </c>
    </row>
    <row r="13" spans="1:9" x14ac:dyDescent="0.2">
      <c r="A13" t="str">
        <v>INV-20250355</v>
      </c>
      <c r="B13" t="str">
        <v>Timberline Mills</v>
      </c>
      <c r="C13" vm="28">
        <v>45667</v>
      </c>
      <c r="D13" vm="29">
        <v>45712</v>
      </c>
      <c r="E13">
        <v>8244.74</v>
      </c>
      <c r="F13" t="str">
        <v>EUR</v>
      </c>
      <c r="G13" t="str">
        <v>Inventory</v>
      </c>
      <c r="H13" t="str">
        <v>Paid</v>
      </c>
      <c r="I13" t="str">
        <v>see email</v>
      </c>
    </row>
    <row r="14" spans="1:9" x14ac:dyDescent="0.2">
      <c r="A14" t="str">
        <v>INV-20250486</v>
      </c>
      <c r="B14" t="str">
        <v>Timberline Mills</v>
      </c>
      <c r="C14" vm="30">
        <v>45668</v>
      </c>
      <c r="D14" vm="31">
        <v>45713</v>
      </c>
      <c r="E14">
        <v>25474.1</v>
      </c>
      <c r="F14" t="str">
        <v>USD</v>
      </c>
      <c r="G14" t="str">
        <v>Inventory</v>
      </c>
      <c r="H14" t="str">
        <v>Paid</v>
      </c>
      <c r="I14" t="str">
        <v>partial shipment</v>
      </c>
    </row>
    <row r="15" spans="1:9" x14ac:dyDescent="0.2">
      <c r="A15" t="str">
        <v>INV-20250494</v>
      </c>
      <c r="B15" t="str">
        <v>Pacific Freight Lines Inc.</v>
      </c>
      <c r="C15" vm="30">
        <v>45668</v>
      </c>
      <c r="D15" vm="32">
        <v>45698</v>
      </c>
      <c r="E15">
        <v>2914.79</v>
      </c>
      <c r="F15" t="str">
        <v>USD</v>
      </c>
      <c r="G15" t="str">
        <v>Freight</v>
      </c>
      <c r="H15" t="str">
        <v>Paid</v>
      </c>
      <c r="I15" t="str">
        <v>approved by JM</v>
      </c>
    </row>
    <row r="16" spans="1:9" x14ac:dyDescent="0.2">
      <c r="A16" t="str">
        <v>INV-20250290</v>
      </c>
      <c r="B16" t="str">
        <v>Ironwood Hardware Supply</v>
      </c>
      <c r="C16" vm="30">
        <v>45668</v>
      </c>
      <c r="D16" vm="31">
        <v>45713</v>
      </c>
      <c r="E16">
        <v>22949.7</v>
      </c>
      <c r="F16" t="str">
        <v>USD</v>
      </c>
      <c r="G16" t="str">
        <v>Inventory</v>
      </c>
      <c r="H16" t="str">
        <v>Overdue</v>
      </c>
      <c r="I16" t="str">
        <v>see email</v>
      </c>
    </row>
    <row r="17" spans="1:9" x14ac:dyDescent="0.2">
      <c r="A17" t="str">
        <v>INV-20250412</v>
      </c>
      <c r="B17" t="str">
        <v>Northgate Marketing Group</v>
      </c>
      <c r="C17" vm="33">
        <v>45669</v>
      </c>
      <c r="D17" vm="34">
        <v>45699</v>
      </c>
      <c r="E17">
        <v>14787.72</v>
      </c>
      <c r="F17" t="str">
        <v>USD</v>
      </c>
      <c r="G17" t="str">
        <v>Marketing</v>
      </c>
      <c r="H17" t="str">
        <v>Paid</v>
      </c>
      <c r="I17" t="str">
        <v>see email</v>
      </c>
    </row>
    <row r="18" spans="1:9" x14ac:dyDescent="0.2">
      <c r="A18" t="str">
        <v>INV-20250429</v>
      </c>
      <c r="B18" t="str">
        <v>BlueRiver Software</v>
      </c>
      <c r="C18" vm="35">
        <v>45670</v>
      </c>
      <c r="D18" vm="36">
        <v>45685</v>
      </c>
      <c r="E18">
        <v>1749.94</v>
      </c>
      <c r="F18" t="str">
        <v>USD</v>
      </c>
      <c r="G18" t="str">
        <v>Software</v>
      </c>
      <c r="H18" t="str">
        <v>Paid</v>
      </c>
      <c r="I18" t="str">
        <v/>
      </c>
    </row>
    <row r="19" spans="1:9" x14ac:dyDescent="0.2">
      <c r="A19" t="str">
        <v>INV-20250389</v>
      </c>
      <c r="B19" t="str">
        <v>Timberline Mills</v>
      </c>
      <c r="C19" vm="37">
        <v>45671</v>
      </c>
      <c r="D19" vm="38">
        <v>45716</v>
      </c>
      <c r="E19">
        <v>6087.45</v>
      </c>
      <c r="F19" t="str">
        <v>USD</v>
      </c>
      <c r="G19" t="str">
        <v>Inventory</v>
      </c>
      <c r="H19" t="str">
        <v>Paid</v>
      </c>
      <c r="I19" t="str">
        <v/>
      </c>
    </row>
    <row r="20" spans="1:9" x14ac:dyDescent="0.2">
      <c r="A20" t="str">
        <v>INV-20250528</v>
      </c>
      <c r="B20" t="str">
        <v>Ironwood Hardware Supply</v>
      </c>
      <c r="C20" vm="37">
        <v>45671</v>
      </c>
      <c r="D20" vm="38">
        <v>45716</v>
      </c>
      <c r="E20">
        <v>8743.39</v>
      </c>
      <c r="F20" t="str">
        <v>USD</v>
      </c>
      <c r="G20" t="str">
        <v>Inventory</v>
      </c>
      <c r="H20" t="str">
        <v>Paid</v>
      </c>
      <c r="I20" t="str">
        <v/>
      </c>
    </row>
    <row r="21" spans="1:9" x14ac:dyDescent="0.2">
      <c r="A21" t="str">
        <v>INV-20250526</v>
      </c>
      <c r="B21" t="str">
        <v>Northgate Marketing Group</v>
      </c>
      <c r="C21" vm="39">
        <v>45672</v>
      </c>
      <c r="D21" vm="40">
        <v>45702</v>
      </c>
      <c r="E21">
        <v>7937.84</v>
      </c>
      <c r="F21" t="str">
        <v>USD</v>
      </c>
      <c r="G21" t="str">
        <v>Marketing</v>
      </c>
      <c r="H21" t="str">
        <v>Paid</v>
      </c>
      <c r="I21" t="str">
        <v>see email</v>
      </c>
    </row>
    <row r="22" spans="1:9" x14ac:dyDescent="0.2">
      <c r="A22" t="str">
        <v>INV-20250034</v>
      </c>
      <c r="B22" t="str">
        <v>Ironwood Hardware Supply</v>
      </c>
      <c r="C22" vm="39">
        <v>45672</v>
      </c>
      <c r="D22" vm="41">
        <v>45717</v>
      </c>
      <c r="E22">
        <v>47542.559999999998</v>
      </c>
      <c r="F22" t="str">
        <v>USD</v>
      </c>
      <c r="G22" t="str">
        <v>Inventory</v>
      </c>
      <c r="H22" t="str">
        <v>Paid</v>
      </c>
      <c r="I22" t="str">
        <v/>
      </c>
    </row>
    <row r="23" spans="1:9" x14ac:dyDescent="0.2">
      <c r="A23" t="str">
        <v>INV-20250041</v>
      </c>
      <c r="B23" t="str">
        <v>Timberline Mills</v>
      </c>
      <c r="C23" vm="39">
        <v>45672</v>
      </c>
      <c r="D23" vm="41">
        <v>45717</v>
      </c>
      <c r="E23">
        <v>10650.63</v>
      </c>
      <c r="F23" t="str">
        <v>USD</v>
      </c>
      <c r="G23" t="str">
        <v>Inventory</v>
      </c>
      <c r="H23" t="str">
        <v>Paid</v>
      </c>
      <c r="I23" t="str">
        <v>partial shipment</v>
      </c>
    </row>
    <row r="24" spans="1:9" x14ac:dyDescent="0.2">
      <c r="A24" t="str">
        <v>INV-20250276</v>
      </c>
      <c r="B24" t="str">
        <v>Riverbend Fasteners Co.</v>
      </c>
      <c r="C24" vm="39">
        <v>45672</v>
      </c>
      <c r="D24" vm="41">
        <v>45717</v>
      </c>
      <c r="E24">
        <v>4904.63</v>
      </c>
      <c r="F24" t="str">
        <v>USD</v>
      </c>
      <c r="G24" t="str">
        <v>Inventory</v>
      </c>
      <c r="H24" t="str">
        <v>Paid</v>
      </c>
      <c r="I24" t="str">
        <v/>
      </c>
    </row>
    <row r="25" spans="1:9" x14ac:dyDescent="0.2">
      <c r="A25" t="str">
        <v>INV-20250326</v>
      </c>
      <c r="B25" t="str">
        <v>Keller &amp; Moss CPAs</v>
      </c>
      <c r="C25" vm="39">
        <v>45672</v>
      </c>
      <c r="D25" vm="40">
        <v>45702</v>
      </c>
      <c r="E25">
        <v>10290.790000000001</v>
      </c>
      <c r="F25" t="str">
        <v>USD</v>
      </c>
      <c r="G25" t="str">
        <v>Professional Fees</v>
      </c>
      <c r="H25" t="str">
        <v>Paid</v>
      </c>
      <c r="I25" t="str">
        <v>partial shipment</v>
      </c>
    </row>
    <row r="26" spans="1:9" x14ac:dyDescent="0.2">
      <c r="A26" t="str">
        <v>INV-20250423</v>
      </c>
      <c r="B26" t="str">
        <v>Ironwood Hardware Supply</v>
      </c>
      <c r="C26" vm="39">
        <v>45672</v>
      </c>
      <c r="D26" vm="41">
        <v>45717</v>
      </c>
      <c r="E26">
        <v>32930.94</v>
      </c>
      <c r="F26" t="str">
        <v>USD</v>
      </c>
      <c r="G26" t="str">
        <v>Inventory</v>
      </c>
      <c r="H26" t="str">
        <v>Paid</v>
      </c>
      <c r="I26" t="str">
        <v/>
      </c>
    </row>
    <row r="27" spans="1:9" x14ac:dyDescent="0.2">
      <c r="A27" t="str">
        <v>INV-20250470</v>
      </c>
      <c r="B27" t="str">
        <v>Riverbend Fasteners Co.</v>
      </c>
      <c r="C27" vm="39">
        <v>45672</v>
      </c>
      <c r="D27" vm="41">
        <v>45717</v>
      </c>
      <c r="E27">
        <v>41316.85</v>
      </c>
      <c r="F27" t="str">
        <v>USD</v>
      </c>
      <c r="G27" t="str">
        <v>Inventory</v>
      </c>
      <c r="H27" t="str">
        <v>Paid</v>
      </c>
      <c r="I27" t="str">
        <v>see email</v>
      </c>
    </row>
    <row r="28" spans="1:9" x14ac:dyDescent="0.2">
      <c r="A28" t="str">
        <v>INV-20250512</v>
      </c>
      <c r="B28" t="str">
        <v>Ironwood Hardware Supply</v>
      </c>
      <c r="C28" vm="39">
        <v>45672</v>
      </c>
      <c r="D28" vm="41">
        <v>45717</v>
      </c>
      <c r="E28">
        <v>13337.96</v>
      </c>
      <c r="F28" t="str">
        <v>USD</v>
      </c>
      <c r="G28" t="str">
        <v>Inventory</v>
      </c>
      <c r="H28" t="str">
        <v>Paid</v>
      </c>
      <c r="I28" t="str">
        <v/>
      </c>
    </row>
    <row r="29" spans="1:9" x14ac:dyDescent="0.2">
      <c r="A29" t="str">
        <v>INV-20250218</v>
      </c>
      <c r="B29" t="str">
        <v>Timberline Mills</v>
      </c>
      <c r="C29" vm="11">
        <v>45673</v>
      </c>
      <c r="D29" vm="42">
        <v>45718</v>
      </c>
      <c r="E29">
        <v>5832.58</v>
      </c>
      <c r="F29" t="str">
        <v>USD</v>
      </c>
      <c r="G29" t="str">
        <v>Inventory</v>
      </c>
      <c r="H29" t="str">
        <v>Paid</v>
      </c>
      <c r="I29" t="str">
        <v/>
      </c>
    </row>
    <row r="30" spans="1:9" x14ac:dyDescent="0.2">
      <c r="A30" t="str">
        <v>INV-20250406</v>
      </c>
      <c r="B30" t="str">
        <v>Pacific Freight Lines Inc.</v>
      </c>
      <c r="C30" vm="43">
        <v>45674</v>
      </c>
      <c r="D30" vm="44">
        <v>45704</v>
      </c>
      <c r="E30">
        <v>3059.54</v>
      </c>
      <c r="F30" t="str">
        <v>USD</v>
      </c>
      <c r="G30" t="str">
        <v>Freight</v>
      </c>
      <c r="H30" t="str">
        <v>Paid</v>
      </c>
      <c r="I30" t="str">
        <v/>
      </c>
    </row>
    <row r="31" spans="1:9" x14ac:dyDescent="0.2">
      <c r="A31" t="str">
        <v>INV-20250299</v>
      </c>
      <c r="B31" t="str">
        <v>Riverbend Fasteners Co.</v>
      </c>
      <c r="C31" vm="43">
        <v>45674</v>
      </c>
      <c r="D31" vm="45">
        <v>45719</v>
      </c>
      <c r="E31">
        <v>-833.23</v>
      </c>
      <c r="F31" t="str">
        <v>USD</v>
      </c>
      <c r="G31" t="str">
        <v>Inventory</v>
      </c>
      <c r="H31" t="str">
        <v>Paid</v>
      </c>
      <c r="I31" t="str">
        <v>rush</v>
      </c>
    </row>
    <row r="32" spans="1:9" x14ac:dyDescent="0.2">
      <c r="A32" t="str">
        <v>INV-20250489</v>
      </c>
      <c r="B32" t="str">
        <v>Timberline Mills</v>
      </c>
      <c r="C32" vm="46">
        <v>45676</v>
      </c>
      <c r="D32" vm="47">
        <v>45721</v>
      </c>
      <c r="E32">
        <v>7282.57</v>
      </c>
      <c r="F32" t="str">
        <v>USD</v>
      </c>
      <c r="G32" t="str">
        <v>Inventory</v>
      </c>
      <c r="H32" t="str">
        <v>Paid</v>
      </c>
      <c r="I32" t="str">
        <v/>
      </c>
    </row>
    <row r="33" spans="1:9" x14ac:dyDescent="0.2">
      <c r="A33" t="str">
        <v>INV-20250012</v>
      </c>
      <c r="B33" t="str">
        <v>BlueRiver Software</v>
      </c>
      <c r="C33" vm="48">
        <v>45678</v>
      </c>
      <c r="D33" vm="20">
        <v>45693</v>
      </c>
      <c r="E33">
        <v>2416.44</v>
      </c>
      <c r="F33" t="str">
        <v>USD</v>
      </c>
      <c r="G33" t="str">
        <v>Software</v>
      </c>
      <c r="H33" t="str">
        <v>Paid</v>
      </c>
      <c r="I33" t="str">
        <v/>
      </c>
    </row>
    <row r="34" spans="1:9" x14ac:dyDescent="0.2">
      <c r="A34" t="str">
        <v>INV-20250283</v>
      </c>
      <c r="B34" t="str">
        <v>Timberline Mills</v>
      </c>
      <c r="C34" vm="48">
        <v>45678</v>
      </c>
      <c r="D34" vm="49">
        <v>45723</v>
      </c>
      <c r="E34">
        <v>21550.65</v>
      </c>
      <c r="F34" t="str">
        <v>USD</v>
      </c>
      <c r="G34" t="str">
        <v>Inventory</v>
      </c>
      <c r="H34" t="str">
        <v>Paid</v>
      </c>
      <c r="I34" t="str">
        <v/>
      </c>
    </row>
    <row r="35" spans="1:9" x14ac:dyDescent="0.2">
      <c r="A35" t="str">
        <v>INV-20250175</v>
      </c>
      <c r="B35" t="str">
        <v>Pacific Freight Lines Inc.</v>
      </c>
      <c r="C35" vm="50">
        <v>45679</v>
      </c>
      <c r="D35" vm="23">
        <v>45709</v>
      </c>
      <c r="E35">
        <v>4137.9399999999996</v>
      </c>
      <c r="F35" t="str">
        <v>USD</v>
      </c>
      <c r="G35" t="str">
        <v>Freight</v>
      </c>
      <c r="H35" t="str">
        <v>Paid</v>
      </c>
      <c r="I35" t="str">
        <v/>
      </c>
    </row>
    <row r="36" spans="1:9" x14ac:dyDescent="0.2">
      <c r="A36" t="str">
        <v>INV-20250203</v>
      </c>
      <c r="B36" t="str">
        <v>Timberline Mills</v>
      </c>
      <c r="C36" vm="51">
        <v>45680</v>
      </c>
      <c r="D36" vm="52">
        <v>45725</v>
      </c>
      <c r="E36">
        <v>-344.94</v>
      </c>
      <c r="F36" t="str">
        <v>USD</v>
      </c>
      <c r="G36" t="str">
        <v>Inventory</v>
      </c>
      <c r="H36" t="str">
        <v>Paid</v>
      </c>
      <c r="I36" t="str">
        <v/>
      </c>
    </row>
    <row r="37" spans="1:9" x14ac:dyDescent="0.2">
      <c r="A37" t="str">
        <v>INV-20250408</v>
      </c>
      <c r="B37" t="str">
        <v>Riverbend Fasteners Co.</v>
      </c>
      <c r="C37" vm="51">
        <v>45680</v>
      </c>
      <c r="D37" vm="52">
        <v>45725</v>
      </c>
      <c r="E37">
        <v>23344.21</v>
      </c>
      <c r="F37" t="str">
        <v>USD</v>
      </c>
      <c r="G37" t="str">
        <v>Inventory</v>
      </c>
      <c r="H37" t="str">
        <v>Paid</v>
      </c>
      <c r="I37" t="str">
        <v>approved by JM</v>
      </c>
    </row>
    <row r="38" spans="1:9" x14ac:dyDescent="0.2">
      <c r="A38" t="str">
        <v>INV-20250492</v>
      </c>
      <c r="B38" t="str">
        <v>Riverbend Fasteners Co.</v>
      </c>
      <c r="C38" vm="51">
        <v>45680</v>
      </c>
      <c r="D38" vm="52">
        <v>45725</v>
      </c>
      <c r="E38">
        <v>13300.73</v>
      </c>
      <c r="F38" t="str">
        <v>USD</v>
      </c>
      <c r="G38" t="str">
        <v>Inventory</v>
      </c>
      <c r="H38" t="str">
        <v>Paid</v>
      </c>
      <c r="I38" t="str">
        <v/>
      </c>
    </row>
    <row r="39" spans="1:9" x14ac:dyDescent="0.2">
      <c r="A39" t="str">
        <v>INV-20250005</v>
      </c>
      <c r="B39" t="str">
        <v>Pacific Freight Lines Inc.</v>
      </c>
      <c r="C39" vm="53">
        <v>45681</v>
      </c>
      <c r="D39" vm="27">
        <v>45711</v>
      </c>
      <c r="E39">
        <v>5408.99</v>
      </c>
      <c r="F39" t="str">
        <v>USD</v>
      </c>
      <c r="G39" t="str">
        <v>Freight</v>
      </c>
      <c r="H39" t="str">
        <v>Paid</v>
      </c>
      <c r="I39" t="str">
        <v>see email</v>
      </c>
    </row>
    <row r="40" spans="1:9" x14ac:dyDescent="0.2">
      <c r="A40" t="str">
        <v>INV-20250077</v>
      </c>
      <c r="B40" t="str">
        <v>Ironwood Hardware Supply</v>
      </c>
      <c r="C40" vm="53">
        <v>45681</v>
      </c>
      <c r="D40" vm="54">
        <v>45726</v>
      </c>
      <c r="E40">
        <v>24215.93</v>
      </c>
      <c r="F40" t="str">
        <v>USD</v>
      </c>
      <c r="G40" t="str">
        <v>Inventory</v>
      </c>
      <c r="H40" t="str">
        <v>Paid</v>
      </c>
      <c r="I40" t="str">
        <v/>
      </c>
    </row>
    <row r="41" spans="1:9" x14ac:dyDescent="0.2">
      <c r="A41" t="str">
        <v>INV-20250194</v>
      </c>
      <c r="B41" t="str">
        <v>Riverbend Fasteners Co.</v>
      </c>
      <c r="C41" vm="55">
        <v>45682</v>
      </c>
      <c r="D41" vm="56">
        <v>45727</v>
      </c>
      <c r="E41">
        <v>17040.87</v>
      </c>
      <c r="F41" t="str">
        <v>USD</v>
      </c>
      <c r="G41" t="str">
        <v>Inventory</v>
      </c>
      <c r="H41" t="str">
        <v>Paid</v>
      </c>
      <c r="I41" t="str">
        <v>rush</v>
      </c>
    </row>
    <row r="42" spans="1:9" x14ac:dyDescent="0.2">
      <c r="A42" t="str">
        <v>INV-20250158</v>
      </c>
      <c r="B42" t="str">
        <v>Timberline Mills</v>
      </c>
      <c r="C42" vm="57">
        <v>45683</v>
      </c>
      <c r="D42" vm="58">
        <v>45728</v>
      </c>
      <c r="E42">
        <v>12341.22</v>
      </c>
      <c r="F42" t="str">
        <v>USD</v>
      </c>
      <c r="G42" t="str">
        <v>Inventory</v>
      </c>
      <c r="H42" t="str">
        <v>Paid</v>
      </c>
      <c r="I42" t="str">
        <v/>
      </c>
    </row>
    <row r="43" spans="1:9" x14ac:dyDescent="0.2">
      <c r="A43" t="str">
        <v>INV-20250108</v>
      </c>
      <c r="B43" t="str">
        <v>Timberline Mills</v>
      </c>
      <c r="C43" vm="57">
        <v>45683</v>
      </c>
      <c r="D43" vm="58">
        <v>45728</v>
      </c>
      <c r="E43">
        <v>45072.480000000003</v>
      </c>
      <c r="F43" t="str">
        <v>USD</v>
      </c>
      <c r="G43" t="str">
        <v>Inventory</v>
      </c>
      <c r="H43" t="str">
        <v>Paid</v>
      </c>
      <c r="I43" t="str">
        <v>approved by JM</v>
      </c>
    </row>
    <row r="44" spans="1:9" x14ac:dyDescent="0.2">
      <c r="A44" t="str">
        <v>INV-20250105</v>
      </c>
      <c r="B44" t="str">
        <v>Timberline Mills</v>
      </c>
      <c r="C44" vm="59">
        <v>45684</v>
      </c>
      <c r="D44" vm="60">
        <v>45729</v>
      </c>
      <c r="E44">
        <v>40725.74</v>
      </c>
      <c r="F44" t="str">
        <v>USD</v>
      </c>
      <c r="G44" t="str">
        <v>Inventory</v>
      </c>
      <c r="H44" t="str">
        <v>Overdue</v>
      </c>
      <c r="I44" t="str">
        <v/>
      </c>
    </row>
    <row r="45" spans="1:9" x14ac:dyDescent="0.2">
      <c r="A45" t="str">
        <v>INV-20250280</v>
      </c>
      <c r="B45" t="str">
        <v>Keller &amp; Moss CPAs</v>
      </c>
      <c r="C45" vm="59">
        <v>45684</v>
      </c>
      <c r="D45" vm="61">
        <v>45714</v>
      </c>
      <c r="E45">
        <v>10180.61</v>
      </c>
      <c r="F45" t="str">
        <v>USD</v>
      </c>
      <c r="G45" t="str">
        <v>Professional Fees</v>
      </c>
      <c r="H45" t="str">
        <v>Paid</v>
      </c>
      <c r="I45" t="str">
        <v>rush</v>
      </c>
    </row>
    <row r="46" spans="1:9" x14ac:dyDescent="0.2">
      <c r="A46" t="str">
        <v>INV-20250361</v>
      </c>
      <c r="B46" t="str">
        <v>Ironwood Hardware Supply</v>
      </c>
      <c r="C46" vm="59">
        <v>45684</v>
      </c>
      <c r="D46" vm="60">
        <v>45729</v>
      </c>
      <c r="E46">
        <v>38183.910000000003</v>
      </c>
      <c r="F46" t="str">
        <v>USD</v>
      </c>
      <c r="G46" t="str">
        <v>Inventory</v>
      </c>
      <c r="H46" t="str">
        <v>Paid</v>
      </c>
      <c r="I46" t="str">
        <v>approved by JM</v>
      </c>
    </row>
    <row r="47" spans="1:9" x14ac:dyDescent="0.2">
      <c r="A47" t="str">
        <v>INV-20250183</v>
      </c>
      <c r="B47" t="str">
        <v>Timberline Mills</v>
      </c>
      <c r="C47" vm="36">
        <v>45685</v>
      </c>
      <c r="D47" vm="62">
        <v>45730</v>
      </c>
      <c r="E47">
        <v>37090.589999999997</v>
      </c>
      <c r="F47" t="str">
        <v>USD</v>
      </c>
      <c r="G47" t="str">
        <v>Inventory</v>
      </c>
      <c r="H47" t="str">
        <v>Paid</v>
      </c>
      <c r="I47" t="str">
        <v>partial shipment</v>
      </c>
    </row>
    <row r="48" spans="1:9" x14ac:dyDescent="0.2">
      <c r="A48" t="str">
        <v>INV-20250002</v>
      </c>
      <c r="B48" t="str">
        <v>Riverbend Fasteners Co.</v>
      </c>
      <c r="C48" vm="63">
        <v>45687</v>
      </c>
      <c r="D48" vm="64">
        <v>45732</v>
      </c>
      <c r="E48">
        <v>44026.98</v>
      </c>
      <c r="F48" t="str">
        <v>USD</v>
      </c>
      <c r="G48" t="str">
        <v>Inventory</v>
      </c>
      <c r="H48" t="str">
        <v>Paid</v>
      </c>
      <c r="I48" t="str">
        <v>approved by JM</v>
      </c>
    </row>
    <row r="49" spans="1:9" x14ac:dyDescent="0.2">
      <c r="A49" t="str">
        <v>INV-20250334</v>
      </c>
      <c r="B49" t="str">
        <v>Pacific Freight Lines Inc.</v>
      </c>
      <c r="C49" vm="63">
        <v>45687</v>
      </c>
      <c r="D49" vm="41">
        <v>45717</v>
      </c>
      <c r="E49">
        <v>2359.94</v>
      </c>
      <c r="F49" t="str">
        <v>USD</v>
      </c>
      <c r="G49" t="str">
        <v>Freight</v>
      </c>
      <c r="H49" t="str">
        <v>Paid</v>
      </c>
      <c r="I49" t="str">
        <v>rush</v>
      </c>
    </row>
    <row r="50" spans="1:9" x14ac:dyDescent="0.2">
      <c r="A50" t="str">
        <v>INV-20250510</v>
      </c>
      <c r="B50" t="str">
        <v>Pacific Freight Lines Inc.</v>
      </c>
      <c r="C50" vm="63">
        <v>45687</v>
      </c>
      <c r="D50" vm="41">
        <v>45717</v>
      </c>
      <c r="E50">
        <v>8701.44</v>
      </c>
      <c r="F50" t="str">
        <v>USD</v>
      </c>
      <c r="G50" t="str">
        <v>Freight</v>
      </c>
      <c r="H50" t="str">
        <v>Paid</v>
      </c>
      <c r="I50" t="str">
        <v>approved by JM</v>
      </c>
    </row>
    <row r="51" spans="1:9" x14ac:dyDescent="0.2">
      <c r="A51" t="str">
        <v>INV-20250285</v>
      </c>
      <c r="B51" t="str">
        <v>Riverbend Fasteners Co.</v>
      </c>
      <c r="C51" vm="65">
        <v>45688</v>
      </c>
      <c r="D51" vm="66">
        <v>45733</v>
      </c>
      <c r="E51">
        <v>38717.19</v>
      </c>
      <c r="F51" t="str">
        <v>USD</v>
      </c>
      <c r="G51" t="str">
        <v>Inventory</v>
      </c>
      <c r="H51" t="str">
        <v>Paid</v>
      </c>
      <c r="I51" t="str">
        <v>rush</v>
      </c>
    </row>
    <row r="52" spans="1:9" x14ac:dyDescent="0.2">
      <c r="A52" t="str">
        <v>INV-20250556</v>
      </c>
      <c r="B52" t="str">
        <v>Riverbend Fasteners Co.</v>
      </c>
      <c r="C52" vm="67">
        <v>45690</v>
      </c>
      <c r="D52" vm="68">
        <v>45735</v>
      </c>
      <c r="E52">
        <v>21315.05</v>
      </c>
      <c r="F52" t="str">
        <v>USD</v>
      </c>
      <c r="G52" t="str">
        <v>Inventory</v>
      </c>
      <c r="H52" t="str">
        <v>Paid</v>
      </c>
      <c r="I52" t="str">
        <v/>
      </c>
    </row>
    <row r="53" spans="1:9" x14ac:dyDescent="0.2">
      <c r="A53" t="str">
        <v>INV-20250464</v>
      </c>
      <c r="B53" t="str">
        <v>Ironwood Hardware Supply</v>
      </c>
      <c r="C53" vm="67">
        <v>45690</v>
      </c>
      <c r="D53" vm="68">
        <v>45735</v>
      </c>
      <c r="E53">
        <v>23302.51</v>
      </c>
      <c r="F53" t="str">
        <v>USD</v>
      </c>
      <c r="G53" t="str">
        <v>Inventory</v>
      </c>
      <c r="H53" t="str">
        <v>Paid</v>
      </c>
      <c r="I53" t="str">
        <v/>
      </c>
    </row>
    <row r="54" spans="1:9" x14ac:dyDescent="0.2">
      <c r="A54" t="str">
        <v>INV-20250145</v>
      </c>
      <c r="B54" t="str">
        <v>Riverbend Fasteners Co.</v>
      </c>
      <c r="C54" vm="18">
        <v>45691</v>
      </c>
      <c r="D54" vm="69">
        <v>45736</v>
      </c>
      <c r="E54">
        <v>5067.3</v>
      </c>
      <c r="F54" t="str">
        <v>USD</v>
      </c>
      <c r="G54" t="str">
        <v>Inventory</v>
      </c>
      <c r="H54" t="str">
        <v>Paid</v>
      </c>
      <c r="I54" t="str">
        <v>partial shipment</v>
      </c>
    </row>
    <row r="55" spans="1:9" x14ac:dyDescent="0.2">
      <c r="A55" t="str">
        <v>INV-20250184</v>
      </c>
      <c r="B55" t="str">
        <v>Timberline Mills</v>
      </c>
      <c r="C55" vm="18">
        <v>45691</v>
      </c>
      <c r="D55" vm="69">
        <v>45736</v>
      </c>
      <c r="E55">
        <v>47829.46</v>
      </c>
      <c r="F55" t="str">
        <v>USD</v>
      </c>
      <c r="G55" t="str">
        <v>Inventory</v>
      </c>
      <c r="H55" t="str">
        <v>Paid</v>
      </c>
      <c r="I55" t="str">
        <v/>
      </c>
    </row>
    <row r="56" spans="1:9" x14ac:dyDescent="0.2">
      <c r="A56" t="str">
        <v>INV-20250219</v>
      </c>
      <c r="B56" t="str">
        <v>Timberline Mills</v>
      </c>
      <c r="C56" vm="18">
        <v>45691</v>
      </c>
      <c r="D56" vm="69">
        <v>45736</v>
      </c>
      <c r="E56">
        <v>41685.910000000003</v>
      </c>
      <c r="F56" t="str">
        <v>USD</v>
      </c>
      <c r="G56" t="str">
        <v>Inventory</v>
      </c>
      <c r="H56" t="str">
        <v>Paid</v>
      </c>
      <c r="I56" t="str">
        <v>see email</v>
      </c>
    </row>
    <row r="57" spans="1:9" x14ac:dyDescent="0.2">
      <c r="A57" t="str">
        <v>INV-20250186</v>
      </c>
      <c r="B57" t="str">
        <v>Pacific Freight Lines Inc.</v>
      </c>
      <c r="C57" vm="18">
        <v>45691</v>
      </c>
      <c r="D57" vm="47">
        <v>45721</v>
      </c>
      <c r="E57">
        <v>7647.59</v>
      </c>
      <c r="F57" t="str">
        <v>USD</v>
      </c>
      <c r="G57" t="str">
        <v>Freight</v>
      </c>
      <c r="H57" t="str">
        <v>Paid</v>
      </c>
      <c r="I57" t="str">
        <v>see email</v>
      </c>
    </row>
    <row r="58" spans="1:9" x14ac:dyDescent="0.2">
      <c r="A58" t="str">
        <v>INV-20250425</v>
      </c>
      <c r="B58" t="str">
        <v>Timberline Mills</v>
      </c>
      <c r="C58" vm="70">
        <v>45692</v>
      </c>
      <c r="D58" vm="71">
        <v>45737</v>
      </c>
      <c r="E58">
        <v>28727.59</v>
      </c>
      <c r="F58" t="str">
        <v>USD</v>
      </c>
      <c r="G58" t="str">
        <v>Inventory</v>
      </c>
      <c r="H58" t="str">
        <v>Paid</v>
      </c>
      <c r="I58" t="str">
        <v>see email</v>
      </c>
    </row>
    <row r="59" spans="1:9" x14ac:dyDescent="0.2">
      <c r="A59" t="str">
        <v>INV-20250075</v>
      </c>
      <c r="B59" t="str">
        <v>Timberline Mills</v>
      </c>
      <c r="C59" vm="22">
        <v>45694</v>
      </c>
      <c r="D59" vm="72">
        <v>45739</v>
      </c>
      <c r="E59">
        <v>31519.73</v>
      </c>
      <c r="F59" t="str">
        <v>USD</v>
      </c>
      <c r="G59" t="str">
        <v>Inventory</v>
      </c>
      <c r="H59" t="str">
        <v>Paid</v>
      </c>
      <c r="I59" t="str">
        <v>partial shipment</v>
      </c>
    </row>
    <row r="60" spans="1:9" x14ac:dyDescent="0.2">
      <c r="A60" t="str">
        <v>INV-20250557</v>
      </c>
      <c r="B60" t="str">
        <v>Ironwood Hardware Supply</v>
      </c>
      <c r="C60" vm="22">
        <v>45694</v>
      </c>
      <c r="D60" vm="72">
        <v>45739</v>
      </c>
      <c r="E60">
        <v>31671.63</v>
      </c>
      <c r="F60" t="str">
        <v>USD</v>
      </c>
      <c r="G60" t="str">
        <v>Inventory</v>
      </c>
      <c r="H60" t="str">
        <v>Paid</v>
      </c>
      <c r="I60" t="str">
        <v>approved by JM</v>
      </c>
    </row>
    <row r="61" spans="1:9" x14ac:dyDescent="0.2">
      <c r="A61" t="str">
        <v>INV-20250505</v>
      </c>
      <c r="B61" t="str">
        <v>Ironwood Hardware Supply</v>
      </c>
      <c r="C61" vm="73">
        <v>45695</v>
      </c>
      <c r="D61" vm="74">
        <v>45740</v>
      </c>
      <c r="E61">
        <v>44533.87</v>
      </c>
      <c r="F61" t="str">
        <v>USD</v>
      </c>
      <c r="G61" t="str">
        <v>Inventory</v>
      </c>
      <c r="H61" t="str">
        <v>Paid</v>
      </c>
      <c r="I61" t="str">
        <v/>
      </c>
    </row>
    <row r="62" spans="1:9" x14ac:dyDescent="0.2">
      <c r="A62" t="str">
        <v>INV-20250545</v>
      </c>
      <c r="B62" t="str">
        <v>Pacific Freight Lines Inc.</v>
      </c>
      <c r="C62" vm="73">
        <v>45695</v>
      </c>
      <c r="D62" vm="52">
        <v>45725</v>
      </c>
      <c r="E62">
        <v>3111.08</v>
      </c>
      <c r="F62" t="str">
        <v>USD</v>
      </c>
      <c r="G62" t="str">
        <v>Freight</v>
      </c>
      <c r="H62" t="str">
        <v>Paid</v>
      </c>
      <c r="I62" t="str">
        <v>partial shipment</v>
      </c>
    </row>
    <row r="63" spans="1:9" x14ac:dyDescent="0.2">
      <c r="A63" t="str">
        <v>INV-20250112</v>
      </c>
      <c r="B63" t="str">
        <v>Pacific Freight Lines Inc.</v>
      </c>
      <c r="C63" vm="75">
        <v>45696</v>
      </c>
      <c r="D63" vm="54">
        <v>45726</v>
      </c>
      <c r="E63">
        <v>2583.77</v>
      </c>
      <c r="F63" t="str">
        <v>USD</v>
      </c>
      <c r="G63" t="str">
        <v>Freight</v>
      </c>
      <c r="H63" t="str">
        <v>Paid</v>
      </c>
      <c r="I63" t="str">
        <v/>
      </c>
    </row>
    <row r="64" spans="1:9" x14ac:dyDescent="0.2">
      <c r="A64" t="str">
        <v>INV-20250491</v>
      </c>
      <c r="B64" t="str">
        <v>Northgate Marketing Group</v>
      </c>
      <c r="C64" vm="75">
        <v>45696</v>
      </c>
      <c r="D64" vm="54">
        <v>45726</v>
      </c>
      <c r="E64">
        <v>8094.45</v>
      </c>
      <c r="F64" t="str">
        <v>USD</v>
      </c>
      <c r="G64" t="str">
        <v>Marketing</v>
      </c>
      <c r="H64" t="str">
        <v>Paid</v>
      </c>
      <c r="I64" t="str">
        <v>partial shipment</v>
      </c>
    </row>
    <row r="65" spans="1:9" x14ac:dyDescent="0.2">
      <c r="A65" t="str">
        <v>INV-20250097</v>
      </c>
      <c r="B65" t="str">
        <v>Harbor Light Utilities</v>
      </c>
      <c r="C65" vm="76">
        <v>45697</v>
      </c>
      <c r="D65" vm="29">
        <v>45712</v>
      </c>
      <c r="E65">
        <v>3767.75</v>
      </c>
      <c r="F65" t="str">
        <v>USD</v>
      </c>
      <c r="G65" t="str">
        <v>Utilities</v>
      </c>
      <c r="H65" t="str">
        <v>Paid</v>
      </c>
      <c r="I65" t="str">
        <v>approved by JM</v>
      </c>
    </row>
    <row r="66" spans="1:9" x14ac:dyDescent="0.2">
      <c r="A66" t="str">
        <v>INV-20250104</v>
      </c>
      <c r="B66" t="str">
        <v>Riverbend Fasteners Co.</v>
      </c>
      <c r="C66" vm="76">
        <v>45697</v>
      </c>
      <c r="D66" vm="77">
        <v>45742</v>
      </c>
      <c r="E66">
        <v>19871.21</v>
      </c>
      <c r="F66" t="str">
        <v>USD</v>
      </c>
      <c r="G66" t="str">
        <v>Inventory</v>
      </c>
      <c r="H66" t="str">
        <v>Paid</v>
      </c>
      <c r="I66" t="str">
        <v>approved by JM</v>
      </c>
    </row>
    <row r="67" spans="1:9" x14ac:dyDescent="0.2">
      <c r="A67" t="str">
        <v>INV-20250036</v>
      </c>
      <c r="B67" t="str">
        <v>Ironwood Hardware Supply</v>
      </c>
      <c r="C67" vm="34">
        <v>45699</v>
      </c>
      <c r="D67" vm="78">
        <v>45744</v>
      </c>
      <c r="E67">
        <v>13700.34</v>
      </c>
      <c r="F67" t="str">
        <v>USD</v>
      </c>
      <c r="G67" t="str">
        <v>Inventory</v>
      </c>
      <c r="H67" t="str">
        <v>Paid</v>
      </c>
      <c r="I67" t="str">
        <v/>
      </c>
    </row>
    <row r="68" spans="1:9" x14ac:dyDescent="0.2">
      <c r="A68" t="str">
        <v>INV-20250018</v>
      </c>
      <c r="B68" t="str">
        <v>Northgate Marketing Group</v>
      </c>
      <c r="C68" vm="34">
        <v>45699</v>
      </c>
      <c r="D68" vm="60">
        <v>45729</v>
      </c>
      <c r="E68">
        <v>5078.68</v>
      </c>
      <c r="F68" t="str">
        <v>USD</v>
      </c>
      <c r="G68" t="str">
        <v>Marketing</v>
      </c>
      <c r="H68" t="str">
        <v>Paid</v>
      </c>
      <c r="I68" t="str">
        <v/>
      </c>
    </row>
    <row r="69" spans="1:9" x14ac:dyDescent="0.2">
      <c r="A69" t="str">
        <v>INV-20250066</v>
      </c>
      <c r="B69" t="str">
        <v>Ironwood Hardware Supply</v>
      </c>
      <c r="C69" vm="79">
        <v>45700</v>
      </c>
      <c r="D69" vm="80">
        <v>45745</v>
      </c>
      <c r="E69">
        <v>30759.81</v>
      </c>
      <c r="F69" t="str">
        <v>USD</v>
      </c>
      <c r="G69" t="str">
        <v>Inventory</v>
      </c>
      <c r="H69" t="str">
        <v>Paid</v>
      </c>
      <c r="I69" t="str">
        <v/>
      </c>
    </row>
    <row r="70" spans="1:9" x14ac:dyDescent="0.2">
      <c r="A70" t="str">
        <v>INV-20250451</v>
      </c>
      <c r="B70" t="str">
        <v>Northgate Marketing Group</v>
      </c>
      <c r="C70" vm="79">
        <v>45700</v>
      </c>
      <c r="D70" vm="62">
        <v>45730</v>
      </c>
      <c r="E70">
        <v>14083.01</v>
      </c>
      <c r="F70" t="str">
        <v>USD</v>
      </c>
      <c r="G70" t="str">
        <v>Marketing</v>
      </c>
      <c r="H70" t="str">
        <v>Paid</v>
      </c>
      <c r="I70" t="str">
        <v>see email</v>
      </c>
    </row>
    <row r="71" spans="1:9" x14ac:dyDescent="0.2">
      <c r="A71" t="str">
        <v>INV-20250122</v>
      </c>
      <c r="B71" t="str">
        <v>Harbor Light Utilities</v>
      </c>
      <c r="C71" vm="81">
        <v>45701</v>
      </c>
      <c r="D71" vm="38">
        <v>45716</v>
      </c>
      <c r="E71">
        <v>-971.41</v>
      </c>
      <c r="F71" t="str">
        <v>USD</v>
      </c>
      <c r="G71" t="str">
        <v>Utilities</v>
      </c>
      <c r="H71" t="str">
        <v>Paid</v>
      </c>
      <c r="I71" t="str">
        <v/>
      </c>
    </row>
    <row r="72" spans="1:9" x14ac:dyDescent="0.2">
      <c r="A72" t="str">
        <v>INV-20250062</v>
      </c>
      <c r="B72" t="str">
        <v>Timberline Mills</v>
      </c>
      <c r="C72" vm="81">
        <v>45701</v>
      </c>
      <c r="D72" vm="82">
        <v>45746</v>
      </c>
      <c r="E72">
        <v>-967.95</v>
      </c>
      <c r="F72" t="str">
        <v>USD</v>
      </c>
      <c r="G72" t="str">
        <v>Inventory</v>
      </c>
      <c r="H72" t="str">
        <v>Paid</v>
      </c>
      <c r="I72" t="str">
        <v>see email</v>
      </c>
    </row>
    <row r="73" spans="1:9" x14ac:dyDescent="0.2">
      <c r="A73" t="str">
        <v>INV-20250552</v>
      </c>
      <c r="B73" t="str">
        <v>Timberline Mills</v>
      </c>
      <c r="C73" vm="40">
        <v>45702</v>
      </c>
      <c r="D73" vm="83">
        <v>45747</v>
      </c>
      <c r="E73">
        <v>41094.519999999997</v>
      </c>
      <c r="F73" t="str">
        <v>USD</v>
      </c>
      <c r="G73" t="str">
        <v>Inventory</v>
      </c>
      <c r="H73" t="str">
        <v>Paid</v>
      </c>
      <c r="I73" t="str">
        <v/>
      </c>
    </row>
    <row r="74" spans="1:9" x14ac:dyDescent="0.2">
      <c r="A74" t="str">
        <v>INV-20250514</v>
      </c>
      <c r="B74" t="str">
        <v>Timberline Mills</v>
      </c>
      <c r="C74" vm="40">
        <v>45702</v>
      </c>
      <c r="D74" vm="83">
        <v>45747</v>
      </c>
      <c r="E74">
        <v>31557.69</v>
      </c>
      <c r="F74" t="str">
        <v>USD</v>
      </c>
      <c r="G74" t="str">
        <v>Inventory</v>
      </c>
      <c r="H74" t="str">
        <v>Paid</v>
      </c>
      <c r="I74" t="str">
        <v>approved by JM</v>
      </c>
    </row>
    <row r="75" spans="1:9" x14ac:dyDescent="0.2">
      <c r="A75" t="str">
        <v>INV-20250233</v>
      </c>
      <c r="B75" t="str">
        <v>Ironwood Hardware Supply</v>
      </c>
      <c r="C75" vm="40">
        <v>45702</v>
      </c>
      <c r="D75" vm="83">
        <v>45747</v>
      </c>
      <c r="E75">
        <v>22573.72</v>
      </c>
      <c r="F75" t="str">
        <v>USD</v>
      </c>
      <c r="G75" t="str">
        <v>Inventory</v>
      </c>
      <c r="H75" t="str">
        <v>Paid</v>
      </c>
      <c r="I75" t="str">
        <v/>
      </c>
    </row>
    <row r="76" spans="1:9" x14ac:dyDescent="0.2">
      <c r="A76" t="str">
        <v>INV-20250222</v>
      </c>
      <c r="B76" t="str">
        <v>Riverbend Fasteners Co.</v>
      </c>
      <c r="C76" vm="40">
        <v>45702</v>
      </c>
      <c r="D76" vm="83">
        <v>45747</v>
      </c>
      <c r="E76">
        <v>40302.65</v>
      </c>
      <c r="F76" t="str">
        <v>USD</v>
      </c>
      <c r="G76" t="str">
        <v>Inventory</v>
      </c>
      <c r="H76" t="str">
        <v>Paid</v>
      </c>
      <c r="I76" t="str">
        <v>rush</v>
      </c>
    </row>
    <row r="77" spans="1:9" x14ac:dyDescent="0.2">
      <c r="A77" t="str">
        <v>INV-20250080</v>
      </c>
      <c r="B77" t="str">
        <v>Timberline Mills</v>
      </c>
      <c r="C77" vm="44">
        <v>45704</v>
      </c>
      <c r="D77" vm="84">
        <v>45749</v>
      </c>
      <c r="E77">
        <v>15623.42</v>
      </c>
      <c r="F77" t="str">
        <v>USD</v>
      </c>
      <c r="G77" t="str">
        <v>Inventory</v>
      </c>
      <c r="H77" t="str">
        <v>Paid</v>
      </c>
      <c r="I77" t="str">
        <v/>
      </c>
    </row>
    <row r="78" spans="1:9" x14ac:dyDescent="0.2">
      <c r="A78" t="str">
        <v>INV-20250114</v>
      </c>
      <c r="B78" t="str">
        <v>Keller &amp; Moss CPAs</v>
      </c>
      <c r="C78" vm="44">
        <v>45704</v>
      </c>
      <c r="D78" vm="85">
        <v>45734</v>
      </c>
      <c r="E78">
        <v>4852.5200000000004</v>
      </c>
      <c r="F78" t="str">
        <v>USD</v>
      </c>
      <c r="G78" t="str">
        <v>Professional Fees</v>
      </c>
      <c r="H78" t="str">
        <v>Paid</v>
      </c>
      <c r="I78" t="str">
        <v/>
      </c>
    </row>
    <row r="79" spans="1:9" x14ac:dyDescent="0.2">
      <c r="A79" t="str">
        <v>INV-20250348</v>
      </c>
      <c r="B79" t="str">
        <v>Northgate Marketing Group</v>
      </c>
      <c r="C79" vm="44">
        <v>45704</v>
      </c>
      <c r="D79" vm="85">
        <v>45734</v>
      </c>
      <c r="E79">
        <v>2739.4</v>
      </c>
      <c r="F79" t="str">
        <v>USD</v>
      </c>
      <c r="G79" t="str">
        <v>Marketing</v>
      </c>
      <c r="H79" t="str">
        <v>Paid</v>
      </c>
      <c r="I79" t="str">
        <v>rush</v>
      </c>
    </row>
    <row r="80" spans="1:9" x14ac:dyDescent="0.2">
      <c r="A80" t="str">
        <v>INV-20250453</v>
      </c>
      <c r="B80" t="str">
        <v>Ironwood Hardware Supply</v>
      </c>
      <c r="C80" vm="44">
        <v>45704</v>
      </c>
      <c r="D80" vm="84">
        <v>45749</v>
      </c>
      <c r="E80">
        <v>32358.3</v>
      </c>
      <c r="F80" t="str">
        <v>USD</v>
      </c>
      <c r="G80" t="str">
        <v>Inventory</v>
      </c>
      <c r="H80" t="str">
        <v>Overdue</v>
      </c>
      <c r="I80" t="str">
        <v>rush</v>
      </c>
    </row>
    <row r="81" spans="1:9" x14ac:dyDescent="0.2">
      <c r="A81" t="str">
        <v>INV-20250003</v>
      </c>
      <c r="B81" t="str">
        <v>Pacific Freight Lines Inc.</v>
      </c>
      <c r="C81" vm="44">
        <v>45704</v>
      </c>
      <c r="D81" vm="85">
        <v>45734</v>
      </c>
      <c r="E81">
        <v>5363.48</v>
      </c>
      <c r="F81" t="str">
        <v>USD</v>
      </c>
      <c r="G81" t="str">
        <v>Freight</v>
      </c>
      <c r="H81" t="str">
        <v>Paid</v>
      </c>
      <c r="I81" t="str">
        <v/>
      </c>
    </row>
    <row r="82" spans="1:9" x14ac:dyDescent="0.2">
      <c r="A82" t="str">
        <v>INV-20250031</v>
      </c>
      <c r="B82" t="str">
        <v>Riverbend Fasteners Co.</v>
      </c>
      <c r="C82" vm="44">
        <v>45704</v>
      </c>
      <c r="D82" vm="84">
        <v>45749</v>
      </c>
      <c r="E82">
        <v>34632.660000000003</v>
      </c>
      <c r="F82" t="str">
        <v>USD</v>
      </c>
      <c r="G82" t="str">
        <v>Inventory</v>
      </c>
      <c r="H82" t="str">
        <v>Paid</v>
      </c>
      <c r="I82" t="str">
        <v>partial shipment</v>
      </c>
    </row>
    <row r="83" spans="1:9" x14ac:dyDescent="0.2">
      <c r="A83" t="str">
        <v>INV-20250497</v>
      </c>
      <c r="B83" t="str">
        <v>Keller &amp; Moss CPAs</v>
      </c>
      <c r="C83" vm="86">
        <v>45706</v>
      </c>
      <c r="D83" vm="69">
        <v>45736</v>
      </c>
      <c r="E83">
        <v>10660.02</v>
      </c>
      <c r="F83" t="str">
        <v>USD</v>
      </c>
      <c r="G83" t="str">
        <v>Professional Fees</v>
      </c>
      <c r="H83" t="str">
        <v>Paid</v>
      </c>
      <c r="I83" t="str">
        <v/>
      </c>
    </row>
    <row r="84" spans="1:9" x14ac:dyDescent="0.2">
      <c r="A84" t="str">
        <v>INV-20250332</v>
      </c>
      <c r="B84" t="str">
        <v>Harbor Light Utilities</v>
      </c>
      <c r="C84" vm="87">
        <v>45707</v>
      </c>
      <c r="D84" vm="88">
        <v>45722</v>
      </c>
      <c r="E84">
        <v>4022.26</v>
      </c>
      <c r="F84" t="str">
        <v>USD</v>
      </c>
      <c r="G84" t="str">
        <v>Utilities</v>
      </c>
      <c r="H84" t="str">
        <v>Paid</v>
      </c>
      <c r="I84" t="str">
        <v>approved by JM</v>
      </c>
    </row>
    <row r="85" spans="1:9" x14ac:dyDescent="0.2">
      <c r="A85" t="str">
        <v>INV-20250124</v>
      </c>
      <c r="B85" t="str">
        <v>Timberline Mills</v>
      </c>
      <c r="C85" vm="89">
        <v>45708</v>
      </c>
      <c r="D85" vm="90">
        <v>45753</v>
      </c>
      <c r="E85">
        <v>7095.48</v>
      </c>
      <c r="F85" t="str">
        <v>USD</v>
      </c>
      <c r="G85" t="str">
        <v>Inventory</v>
      </c>
      <c r="H85" t="str">
        <v>Paid</v>
      </c>
      <c r="I85" t="str">
        <v/>
      </c>
    </row>
    <row r="86" spans="1:9" x14ac:dyDescent="0.2">
      <c r="A86" t="str">
        <v>INV-20250252</v>
      </c>
      <c r="B86" t="str">
        <v>Ironwood Hardware Supply</v>
      </c>
      <c r="C86" vm="23">
        <v>45709</v>
      </c>
      <c r="D86" vm="91">
        <v>45754</v>
      </c>
      <c r="E86">
        <v>41275.019999999997</v>
      </c>
      <c r="F86" t="str">
        <v>USD</v>
      </c>
      <c r="G86" t="str">
        <v>Inventory</v>
      </c>
      <c r="H86" t="str">
        <v>Paid</v>
      </c>
      <c r="I86" t="str">
        <v/>
      </c>
    </row>
    <row r="87" spans="1:9" x14ac:dyDescent="0.2">
      <c r="A87" t="str">
        <v>INV-20250522</v>
      </c>
      <c r="B87" t="str">
        <v>Northgate Marketing Group</v>
      </c>
      <c r="C87" vm="23">
        <v>45709</v>
      </c>
      <c r="D87" vm="72">
        <v>45739</v>
      </c>
      <c r="E87">
        <v>12658.1</v>
      </c>
      <c r="F87" t="str">
        <v>USD</v>
      </c>
      <c r="G87" t="str">
        <v>Marketing</v>
      </c>
      <c r="H87" t="str">
        <v>Paid</v>
      </c>
      <c r="I87" t="str">
        <v/>
      </c>
    </row>
    <row r="88" spans="1:9" x14ac:dyDescent="0.2">
      <c r="A88" t="str">
        <v>INV-20250477</v>
      </c>
      <c r="B88" t="str">
        <v>Northgate Marketing Group</v>
      </c>
      <c r="C88" vm="25">
        <v>45710</v>
      </c>
      <c r="D88" vm="74">
        <v>45740</v>
      </c>
      <c r="E88">
        <v>9629.81</v>
      </c>
      <c r="F88" t="str">
        <v>USD</v>
      </c>
      <c r="G88" t="str">
        <v>Marketing</v>
      </c>
      <c r="H88" t="str">
        <v>Paid</v>
      </c>
      <c r="I88" t="str">
        <v/>
      </c>
    </row>
    <row r="89" spans="1:9" x14ac:dyDescent="0.2">
      <c r="A89" t="str">
        <v>INV-20250541</v>
      </c>
      <c r="B89" t="str">
        <v>Riverbend Fasteners Co.</v>
      </c>
      <c r="C89" vm="27">
        <v>45711</v>
      </c>
      <c r="D89" vm="92">
        <v>45756</v>
      </c>
      <c r="E89">
        <v>36054.19</v>
      </c>
      <c r="F89" t="str">
        <v>USD</v>
      </c>
      <c r="G89" t="str">
        <v>Inventory</v>
      </c>
      <c r="H89" t="str">
        <v>Paid</v>
      </c>
      <c r="I89" t="str">
        <v>rush</v>
      </c>
    </row>
    <row r="90" spans="1:9" x14ac:dyDescent="0.2">
      <c r="A90" t="str">
        <v>INV-20250160</v>
      </c>
      <c r="B90" t="str">
        <v>Timberline Mills</v>
      </c>
      <c r="C90" vm="29">
        <v>45712</v>
      </c>
      <c r="D90" vm="93">
        <v>45757</v>
      </c>
      <c r="E90">
        <v>32048.12</v>
      </c>
      <c r="F90" t="str">
        <v>USD</v>
      </c>
      <c r="G90" t="str">
        <v>Inventory</v>
      </c>
      <c r="H90" t="str">
        <v>Paid</v>
      </c>
      <c r="I90" t="str">
        <v>partial shipment</v>
      </c>
    </row>
    <row r="91" spans="1:9" x14ac:dyDescent="0.2">
      <c r="A91" t="str">
        <v>INV-20250132</v>
      </c>
      <c r="B91" t="str">
        <v>Ironwood Hardware Supply</v>
      </c>
      <c r="C91" vm="31">
        <v>45713</v>
      </c>
      <c r="D91" vm="94">
        <v>45758</v>
      </c>
      <c r="E91">
        <v>45884.78</v>
      </c>
      <c r="F91" t="str">
        <v>USD</v>
      </c>
      <c r="G91" t="str">
        <v>Inventory</v>
      </c>
      <c r="H91" t="str">
        <v>Paid</v>
      </c>
      <c r="I91" t="str">
        <v/>
      </c>
    </row>
    <row r="92" spans="1:9" x14ac:dyDescent="0.2">
      <c r="A92" t="str">
        <v>INV-20250396</v>
      </c>
      <c r="B92" t="str">
        <v>Pacific Freight Lines Inc.</v>
      </c>
      <c r="C92" vm="61">
        <v>45714</v>
      </c>
      <c r="D92" vm="78">
        <v>45744</v>
      </c>
      <c r="E92">
        <v>6213</v>
      </c>
      <c r="F92" t="str">
        <v>USD</v>
      </c>
      <c r="G92" t="str">
        <v>Freight</v>
      </c>
      <c r="H92" t="str">
        <v>Paid</v>
      </c>
      <c r="I92" t="str">
        <v>see email</v>
      </c>
    </row>
    <row r="93" spans="1:9" x14ac:dyDescent="0.2">
      <c r="A93" t="str">
        <v>INV-20250358</v>
      </c>
      <c r="B93" t="str">
        <v>Ironwood Hardware Supply</v>
      </c>
      <c r="C93" vm="61">
        <v>45714</v>
      </c>
      <c r="D93" vm="95">
        <v>45759</v>
      </c>
      <c r="E93">
        <v>9369.64</v>
      </c>
      <c r="F93" t="str">
        <v>USD</v>
      </c>
      <c r="G93" t="str">
        <v>Inventory</v>
      </c>
      <c r="H93" t="str">
        <v>Paid</v>
      </c>
      <c r="I93" t="str">
        <v>approved by JM</v>
      </c>
    </row>
    <row r="94" spans="1:9" x14ac:dyDescent="0.2">
      <c r="A94" t="str">
        <v>INV-20250217</v>
      </c>
      <c r="B94" t="str">
        <v>Timberline Mills</v>
      </c>
      <c r="C94" vm="96">
        <v>45715</v>
      </c>
      <c r="D94" vm="97">
        <v>45760</v>
      </c>
      <c r="E94">
        <v>8693.85</v>
      </c>
      <c r="F94" t="str">
        <v>USD</v>
      </c>
      <c r="G94" t="str">
        <v>Inventory</v>
      </c>
      <c r="H94" t="str">
        <v>Paid</v>
      </c>
      <c r="I94" t="str">
        <v/>
      </c>
    </row>
    <row r="95" spans="1:9" x14ac:dyDescent="0.2">
      <c r="A95" t="str">
        <v>INV-20250337</v>
      </c>
      <c r="B95" t="str">
        <v>Northgate Marketing Group</v>
      </c>
      <c r="C95" vm="38">
        <v>45716</v>
      </c>
      <c r="D95" vm="82">
        <v>45746</v>
      </c>
      <c r="E95">
        <v>4877.22</v>
      </c>
      <c r="F95" t="str">
        <v>USD</v>
      </c>
      <c r="G95" t="str">
        <v>Marketing</v>
      </c>
      <c r="H95" t="str">
        <v>Paid</v>
      </c>
      <c r="I95" t="str">
        <v/>
      </c>
    </row>
    <row r="96" spans="1:9" x14ac:dyDescent="0.2">
      <c r="A96" t="str">
        <v>INV-20250302</v>
      </c>
      <c r="B96" t="str">
        <v>Timberline Mills</v>
      </c>
      <c r="C96" vm="41">
        <v>45717</v>
      </c>
      <c r="D96" vm="98">
        <v>45762</v>
      </c>
      <c r="E96">
        <v>19983.689999999999</v>
      </c>
      <c r="F96" t="str">
        <v>USD</v>
      </c>
      <c r="G96" t="str">
        <v>Inventory</v>
      </c>
      <c r="H96" t="str">
        <v>Paid</v>
      </c>
      <c r="I96" t="str">
        <v/>
      </c>
    </row>
    <row r="97" spans="1:9" x14ac:dyDescent="0.2">
      <c r="A97" t="str">
        <v>INV-20250011</v>
      </c>
      <c r="B97" t="str">
        <v>Timberline Mills</v>
      </c>
      <c r="C97" vm="42">
        <v>45718</v>
      </c>
      <c r="D97" vm="99">
        <v>45763</v>
      </c>
      <c r="E97">
        <v>26525.040000000001</v>
      </c>
      <c r="F97" t="str">
        <v>USD</v>
      </c>
      <c r="G97" t="str">
        <v>Inventory</v>
      </c>
      <c r="H97" t="str">
        <v>Paid</v>
      </c>
      <c r="I97" t="str">
        <v>approved by JM</v>
      </c>
    </row>
    <row r="98" spans="1:9" x14ac:dyDescent="0.2">
      <c r="A98" t="str">
        <v>INV-20250177</v>
      </c>
      <c r="B98" t="str">
        <v>Ironwood Hardware Supply</v>
      </c>
      <c r="C98" vm="42">
        <v>45718</v>
      </c>
      <c r="D98" vm="99">
        <v>45763</v>
      </c>
      <c r="E98">
        <v>21152.81</v>
      </c>
      <c r="F98" t="str">
        <v>USD</v>
      </c>
      <c r="G98" t="str">
        <v>Inventory</v>
      </c>
      <c r="H98" t="str">
        <v>Paid</v>
      </c>
      <c r="I98" t="str">
        <v/>
      </c>
    </row>
    <row r="99" spans="1:9" x14ac:dyDescent="0.2">
      <c r="A99" t="str">
        <v>INV-20250446</v>
      </c>
      <c r="B99" t="str">
        <v>Riverbend Fasteners Co.</v>
      </c>
      <c r="C99" vm="42">
        <v>45718</v>
      </c>
      <c r="D99" vm="99">
        <v>45763</v>
      </c>
      <c r="E99">
        <v>28123.45</v>
      </c>
      <c r="F99" t="str">
        <v>USD</v>
      </c>
      <c r="G99" t="str">
        <v>Inventory</v>
      </c>
      <c r="H99" t="str">
        <v>Paid</v>
      </c>
      <c r="I99" t="str">
        <v/>
      </c>
    </row>
    <row r="100" spans="1:9" x14ac:dyDescent="0.2">
      <c r="A100" t="str">
        <v>INV-20250102</v>
      </c>
      <c r="B100" t="str">
        <v>Ironwood Hardware Supply</v>
      </c>
      <c r="C100" vm="45">
        <v>45719</v>
      </c>
      <c r="D100" vm="100">
        <v>45764</v>
      </c>
      <c r="E100">
        <v>-938.27</v>
      </c>
      <c r="F100" t="str">
        <v>USD</v>
      </c>
      <c r="G100" t="str">
        <v>Inventory</v>
      </c>
      <c r="H100" t="str">
        <v>Paid</v>
      </c>
      <c r="I100" t="str">
        <v>rush</v>
      </c>
    </row>
    <row r="101" spans="1:9" x14ac:dyDescent="0.2">
      <c r="A101" t="str">
        <v>INV-20250323</v>
      </c>
      <c r="B101" t="str">
        <v>Ironwood Hardware Supply</v>
      </c>
      <c r="C101" vm="45">
        <v>45719</v>
      </c>
      <c r="D101" vm="100">
        <v>45764</v>
      </c>
      <c r="E101">
        <v>35080.559999999998</v>
      </c>
      <c r="F101" t="str">
        <v>USD</v>
      </c>
      <c r="G101" t="str">
        <v>Inventory</v>
      </c>
      <c r="H101" t="str">
        <v>Paid</v>
      </c>
      <c r="I101" t="str">
        <v/>
      </c>
    </row>
    <row r="102" spans="1:9" x14ac:dyDescent="0.2">
      <c r="A102" t="str">
        <v>INV-20250542</v>
      </c>
      <c r="B102" t="str">
        <v>Timberline Mills</v>
      </c>
      <c r="C102" vm="45">
        <v>45719</v>
      </c>
      <c r="D102" vm="100">
        <v>45764</v>
      </c>
      <c r="E102">
        <v>46115.3</v>
      </c>
      <c r="F102" t="str">
        <v>EUR</v>
      </c>
      <c r="G102" t="str">
        <v>Inventory</v>
      </c>
      <c r="H102" t="str">
        <v>Paid</v>
      </c>
      <c r="I102" t="str">
        <v>approved by JM</v>
      </c>
    </row>
    <row r="103" spans="1:9" x14ac:dyDescent="0.2">
      <c r="A103" t="str">
        <v>INV-20250153</v>
      </c>
      <c r="B103" t="str">
        <v>Riverbend Fasteners Co.</v>
      </c>
      <c r="C103" vm="101">
        <v>45720</v>
      </c>
      <c r="D103" vm="102">
        <v>45765</v>
      </c>
      <c r="E103">
        <v>38309.03</v>
      </c>
      <c r="F103" t="str">
        <v>USD</v>
      </c>
      <c r="G103" t="str">
        <v>Inventory</v>
      </c>
      <c r="H103" t="str">
        <v>Paid</v>
      </c>
      <c r="I103" t="str">
        <v>see email</v>
      </c>
    </row>
    <row r="104" spans="1:9" x14ac:dyDescent="0.2">
      <c r="A104" t="str">
        <v>INV-20250056</v>
      </c>
      <c r="B104" t="str">
        <v>Ironwood Hardware Supply</v>
      </c>
      <c r="C104" vm="101">
        <v>45720</v>
      </c>
      <c r="D104" vm="102">
        <v>45765</v>
      </c>
      <c r="E104">
        <v>43469.16</v>
      </c>
      <c r="F104" t="str">
        <v>USD</v>
      </c>
      <c r="G104" t="str">
        <v>Inventory</v>
      </c>
      <c r="H104" t="str">
        <v>Paid</v>
      </c>
      <c r="I104" t="str">
        <v/>
      </c>
    </row>
    <row r="105" spans="1:9" x14ac:dyDescent="0.2">
      <c r="A105" t="str">
        <v>INV-20250235</v>
      </c>
      <c r="B105" t="str">
        <v>Harbor Light Utilities</v>
      </c>
      <c r="C105" vm="88">
        <v>45722</v>
      </c>
      <c r="D105" vm="71">
        <v>45737</v>
      </c>
      <c r="E105">
        <v>3075.71</v>
      </c>
      <c r="F105" t="str">
        <v>USD</v>
      </c>
      <c r="G105" t="str">
        <v>Utilities</v>
      </c>
      <c r="H105" t="str">
        <v>Paid</v>
      </c>
      <c r="I105" t="str">
        <v>partial shipment</v>
      </c>
    </row>
    <row r="106" spans="1:9" x14ac:dyDescent="0.2">
      <c r="A106" t="str">
        <v>INV-20250440</v>
      </c>
      <c r="B106" t="str">
        <v>Northgate Marketing Group</v>
      </c>
      <c r="C106" vm="49">
        <v>45723</v>
      </c>
      <c r="D106" vm="90">
        <v>45753</v>
      </c>
      <c r="E106">
        <v>10087.41</v>
      </c>
      <c r="F106" t="str">
        <v>USD</v>
      </c>
      <c r="G106" t="str">
        <v>Marketing</v>
      </c>
      <c r="H106" t="str">
        <v>Overdue</v>
      </c>
      <c r="I106" t="str">
        <v>approved by JM</v>
      </c>
    </row>
    <row r="107" spans="1:9" x14ac:dyDescent="0.2">
      <c r="A107" t="str">
        <v>INV-20250169</v>
      </c>
      <c r="B107" t="str">
        <v>Pacific Freight Lines Inc.</v>
      </c>
      <c r="C107" vm="103">
        <v>45724</v>
      </c>
      <c r="D107" vm="91">
        <v>45754</v>
      </c>
      <c r="E107">
        <v>1020.16</v>
      </c>
      <c r="F107" t="str">
        <v>USD</v>
      </c>
      <c r="G107" t="str">
        <v>Freight</v>
      </c>
      <c r="H107" t="str">
        <v>Paid</v>
      </c>
      <c r="I107" t="str">
        <v/>
      </c>
    </row>
    <row r="108" spans="1:9" x14ac:dyDescent="0.2">
      <c r="A108" t="str">
        <v>INV-20250047</v>
      </c>
      <c r="B108" t="str">
        <v>Northgate Marketing Group</v>
      </c>
      <c r="C108" vm="103">
        <v>45724</v>
      </c>
      <c r="D108" vm="91">
        <v>45754</v>
      </c>
      <c r="E108">
        <v>10743.29</v>
      </c>
      <c r="F108" t="str">
        <v>USD</v>
      </c>
      <c r="G108" t="str">
        <v>Marketing</v>
      </c>
      <c r="H108" t="str">
        <v>Paid</v>
      </c>
      <c r="I108" t="str">
        <v/>
      </c>
    </row>
    <row r="109" spans="1:9" x14ac:dyDescent="0.2">
      <c r="A109" t="str">
        <v>INV-20250099</v>
      </c>
      <c r="B109" t="str">
        <v>Ironwood Hardware Supply</v>
      </c>
      <c r="C109" vm="52">
        <v>45725</v>
      </c>
      <c r="D109" vm="104">
        <v>45770</v>
      </c>
      <c r="E109">
        <v>30548.09</v>
      </c>
      <c r="F109" t="str">
        <v>USD</v>
      </c>
      <c r="G109" t="str">
        <v>Inventory</v>
      </c>
      <c r="H109" t="str">
        <v>Paid</v>
      </c>
      <c r="I109" t="str">
        <v/>
      </c>
    </row>
    <row r="110" spans="1:9" x14ac:dyDescent="0.2">
      <c r="A110" t="str">
        <v>INV-20250420</v>
      </c>
      <c r="B110" t="str">
        <v>Riverbend Fasteners Co.</v>
      </c>
      <c r="C110" vm="52">
        <v>45725</v>
      </c>
      <c r="D110" vm="104">
        <v>45770</v>
      </c>
      <c r="E110">
        <v>45451.839999999997</v>
      </c>
      <c r="F110" t="str">
        <v>USD</v>
      </c>
      <c r="G110" t="str">
        <v>Inventory</v>
      </c>
      <c r="H110" t="str">
        <v>Paid</v>
      </c>
      <c r="I110" t="str">
        <v/>
      </c>
    </row>
    <row r="111" spans="1:9" x14ac:dyDescent="0.2">
      <c r="A111" t="str">
        <v>INV-20250371</v>
      </c>
      <c r="B111" t="str">
        <v>Northgate Marketing Group</v>
      </c>
      <c r="C111" vm="52">
        <v>45725</v>
      </c>
      <c r="D111" vm="105">
        <v>45755</v>
      </c>
      <c r="E111">
        <v>16220.45</v>
      </c>
      <c r="F111" t="str">
        <v>USD</v>
      </c>
      <c r="G111" t="str">
        <v>Marketing</v>
      </c>
      <c r="H111" t="str">
        <v>Paid</v>
      </c>
      <c r="I111" t="str">
        <v/>
      </c>
    </row>
    <row r="112" spans="1:9" x14ac:dyDescent="0.2">
      <c r="A112" t="str">
        <v>INV-20250199</v>
      </c>
      <c r="B112" t="str">
        <v>Riverbend Fasteners Co.</v>
      </c>
      <c r="C112" vm="54">
        <v>45726</v>
      </c>
      <c r="D112" vm="106">
        <v>45771</v>
      </c>
      <c r="E112">
        <v>12984.11</v>
      </c>
      <c r="F112" t="str">
        <v>USD</v>
      </c>
      <c r="G112" t="str">
        <v>Inventory</v>
      </c>
      <c r="H112" t="str">
        <v>Paid</v>
      </c>
      <c r="I112" t="str">
        <v>rush</v>
      </c>
    </row>
    <row r="113" spans="1:9" x14ac:dyDescent="0.2">
      <c r="A113" t="str">
        <v>INV-20250533</v>
      </c>
      <c r="B113" t="str">
        <v>Ironwood Hardware Supply</v>
      </c>
      <c r="C113" vm="56">
        <v>45727</v>
      </c>
      <c r="D113" vm="107">
        <v>45772</v>
      </c>
      <c r="E113">
        <v>40204.51</v>
      </c>
      <c r="F113" t="str">
        <v>USD</v>
      </c>
      <c r="G113" t="str">
        <v>Inventory</v>
      </c>
      <c r="H113" t="str">
        <v>Paid</v>
      </c>
      <c r="I113" t="str">
        <v>partial shipment</v>
      </c>
    </row>
    <row r="114" spans="1:9" x14ac:dyDescent="0.2">
      <c r="A114" t="str">
        <v>INV-20250161</v>
      </c>
      <c r="B114" t="str">
        <v>Ironwood Hardware Supply</v>
      </c>
      <c r="C114" vm="62">
        <v>45730</v>
      </c>
      <c r="D114" vm="108">
        <v>45775</v>
      </c>
      <c r="E114">
        <v>5943.33</v>
      </c>
      <c r="F114" t="str">
        <v>USD</v>
      </c>
      <c r="G114" t="str">
        <v>Inventory</v>
      </c>
      <c r="H114" t="str">
        <v>Paid</v>
      </c>
      <c r="I114" t="str">
        <v/>
      </c>
    </row>
    <row r="115" spans="1:9" x14ac:dyDescent="0.2">
      <c r="A115" t="str">
        <v>INV-20250495</v>
      </c>
      <c r="B115" t="str">
        <v>Riverbend Fasteners Co.</v>
      </c>
      <c r="C115" vm="109">
        <v>45731</v>
      </c>
      <c r="D115" vm="110">
        <v>45776</v>
      </c>
      <c r="E115">
        <v>15997.34</v>
      </c>
      <c r="F115" t="str">
        <v>USD</v>
      </c>
      <c r="G115" t="str">
        <v>Inventory</v>
      </c>
      <c r="H115" t="str">
        <v>Paid</v>
      </c>
      <c r="I115" t="str">
        <v>partial shipment</v>
      </c>
    </row>
    <row r="116" spans="1:9" x14ac:dyDescent="0.2">
      <c r="A116" t="str">
        <v>INV-20250517</v>
      </c>
      <c r="B116" t="str">
        <v>Pacific Freight Lines Inc.</v>
      </c>
      <c r="C116" vm="109">
        <v>45731</v>
      </c>
      <c r="D116" vm="111">
        <v>45761</v>
      </c>
      <c r="E116">
        <v>5188.8100000000004</v>
      </c>
      <c r="F116" t="str">
        <v>USD</v>
      </c>
      <c r="G116" t="str">
        <v>Freight</v>
      </c>
      <c r="H116" t="str">
        <v>Paid</v>
      </c>
      <c r="I116" t="str">
        <v/>
      </c>
    </row>
    <row r="117" spans="1:9" x14ac:dyDescent="0.2">
      <c r="A117" t="str">
        <v>INV-20250550</v>
      </c>
      <c r="B117" t="str">
        <v>BlueRiver Software</v>
      </c>
      <c r="C117" vm="109">
        <v>45731</v>
      </c>
      <c r="D117" vm="82">
        <v>45746</v>
      </c>
      <c r="E117">
        <v>2275.81</v>
      </c>
      <c r="F117" t="str">
        <v>USD</v>
      </c>
      <c r="G117" t="str">
        <v>Software</v>
      </c>
      <c r="H117" t="str">
        <v>Paid</v>
      </c>
      <c r="I117" t="str">
        <v/>
      </c>
    </row>
    <row r="118" spans="1:9" x14ac:dyDescent="0.2">
      <c r="A118" t="str">
        <v>INV-20250359</v>
      </c>
      <c r="B118" t="str">
        <v>Pacific Freight Lines Inc.</v>
      </c>
      <c r="C118" vm="66">
        <v>45733</v>
      </c>
      <c r="D118" vm="99">
        <v>45763</v>
      </c>
      <c r="E118">
        <v>6317.08</v>
      </c>
      <c r="F118" t="str">
        <v>USD</v>
      </c>
      <c r="G118" t="str">
        <v>Freight</v>
      </c>
      <c r="H118" t="str">
        <v>Paid</v>
      </c>
      <c r="I118" t="str">
        <v>approved by JM</v>
      </c>
    </row>
    <row r="119" spans="1:9" x14ac:dyDescent="0.2">
      <c r="A119" t="str">
        <v>INV-20250525</v>
      </c>
      <c r="B119" t="str">
        <v>Ironwood Hardware Supply</v>
      </c>
      <c r="C119" vm="85">
        <v>45734</v>
      </c>
      <c r="D119" vm="112">
        <v>45779</v>
      </c>
      <c r="E119">
        <v>43725.73</v>
      </c>
      <c r="F119" t="str">
        <v>USD</v>
      </c>
      <c r="G119" t="str">
        <v>Inventory</v>
      </c>
      <c r="H119" t="str">
        <v>Paid</v>
      </c>
      <c r="I119" t="str">
        <v/>
      </c>
    </row>
    <row r="120" spans="1:9" x14ac:dyDescent="0.2">
      <c r="A120" t="str">
        <v>INV-20250383</v>
      </c>
      <c r="B120" t="str">
        <v>Riverbend Fasteners Co.</v>
      </c>
      <c r="C120" vm="85">
        <v>45734</v>
      </c>
      <c r="D120" vm="112">
        <v>45779</v>
      </c>
      <c r="E120">
        <v>22388.05</v>
      </c>
      <c r="F120" t="str">
        <v>USD</v>
      </c>
      <c r="G120" t="str">
        <v>Inventory</v>
      </c>
      <c r="H120" t="str">
        <v>Paid</v>
      </c>
      <c r="I120" t="str">
        <v>approved by JM</v>
      </c>
    </row>
    <row r="121" spans="1:9" x14ac:dyDescent="0.2">
      <c r="A121" t="str">
        <v>INV-20250083</v>
      </c>
      <c r="B121" t="str">
        <v>Northgate Marketing Group</v>
      </c>
      <c r="C121" vm="85">
        <v>45734</v>
      </c>
      <c r="D121" vm="100">
        <v>45764</v>
      </c>
      <c r="E121">
        <v>6904.74</v>
      </c>
      <c r="F121" t="str">
        <v>USD</v>
      </c>
      <c r="G121" t="str">
        <v>Marketing</v>
      </c>
      <c r="H121" t="str">
        <v>Paid</v>
      </c>
      <c r="I121" t="str">
        <v/>
      </c>
    </row>
    <row r="122" spans="1:9" x14ac:dyDescent="0.2">
      <c r="A122" t="str">
        <v>INV-20250020</v>
      </c>
      <c r="B122" t="str">
        <v>Pacific Freight Lines Inc.</v>
      </c>
      <c r="C122" vm="68">
        <v>45735</v>
      </c>
      <c r="D122" vm="102">
        <v>45765</v>
      </c>
      <c r="E122">
        <v>1572.18</v>
      </c>
      <c r="F122" t="str">
        <v>EUR</v>
      </c>
      <c r="G122" t="str">
        <v>Freight</v>
      </c>
      <c r="H122" t="str">
        <v>Paid</v>
      </c>
      <c r="I122" t="str">
        <v/>
      </c>
    </row>
    <row r="123" spans="1:9" x14ac:dyDescent="0.2">
      <c r="A123" t="str">
        <v>INV-20250001</v>
      </c>
      <c r="B123" t="str">
        <v>Ironwood Hardware Supply</v>
      </c>
      <c r="C123" vm="68">
        <v>45735</v>
      </c>
      <c r="D123" vm="113">
        <v>45780</v>
      </c>
      <c r="E123">
        <v>21372.23</v>
      </c>
      <c r="F123" t="str">
        <v>USD</v>
      </c>
      <c r="G123" t="str">
        <v>Inventory</v>
      </c>
      <c r="H123" t="str">
        <v>Paid</v>
      </c>
      <c r="I123" t="str">
        <v>rush</v>
      </c>
    </row>
    <row r="124" spans="1:9" x14ac:dyDescent="0.2">
      <c r="A124" t="str">
        <v>INV-20250305</v>
      </c>
      <c r="B124" t="str">
        <v>Timberline Mills</v>
      </c>
      <c r="C124" vm="68">
        <v>45735</v>
      </c>
      <c r="D124" vm="113">
        <v>45780</v>
      </c>
      <c r="E124">
        <v>30450.04</v>
      </c>
      <c r="F124" t="str">
        <v>USD</v>
      </c>
      <c r="G124" t="str">
        <v>Inventory</v>
      </c>
      <c r="H124" t="str">
        <v>Paid</v>
      </c>
      <c r="I124" t="str">
        <v>partial shipment</v>
      </c>
    </row>
    <row r="125" spans="1:9" x14ac:dyDescent="0.2">
      <c r="A125" t="str">
        <v>INV-20250294</v>
      </c>
      <c r="B125" t="str">
        <v>Pacific Freight Lines Inc.</v>
      </c>
      <c r="C125" vm="68">
        <v>45735</v>
      </c>
      <c r="D125" vm="102">
        <v>45765</v>
      </c>
      <c r="E125">
        <v>5977.85</v>
      </c>
      <c r="F125" t="str">
        <v>USD</v>
      </c>
      <c r="G125" t="str">
        <v>Freight</v>
      </c>
      <c r="H125" t="str">
        <v>Paid</v>
      </c>
      <c r="I125" t="str">
        <v/>
      </c>
    </row>
    <row r="126" spans="1:9" x14ac:dyDescent="0.2">
      <c r="A126" t="str">
        <v>INV-20250537</v>
      </c>
      <c r="B126" t="str">
        <v>Timberline Mills</v>
      </c>
      <c r="C126" vm="68">
        <v>45735</v>
      </c>
      <c r="D126" vm="113">
        <v>45780</v>
      </c>
      <c r="E126">
        <v>-1107.19</v>
      </c>
      <c r="F126" t="str">
        <v>USD</v>
      </c>
      <c r="G126" t="str">
        <v>Inventory</v>
      </c>
      <c r="H126" t="str">
        <v>Paid</v>
      </c>
      <c r="I126" t="str">
        <v/>
      </c>
    </row>
    <row r="127" spans="1:9" x14ac:dyDescent="0.2">
      <c r="A127" t="str">
        <v>INV-20250293</v>
      </c>
      <c r="B127" t="str">
        <v>Riverbend Fasteners Co.</v>
      </c>
      <c r="C127" vm="71">
        <v>45737</v>
      </c>
      <c r="D127" vm="114">
        <v>45782</v>
      </c>
      <c r="E127">
        <v>24919.73</v>
      </c>
      <c r="F127" t="str">
        <v>USD</v>
      </c>
      <c r="G127" t="str">
        <v>Inventory</v>
      </c>
      <c r="H127" t="str">
        <v>Paid</v>
      </c>
      <c r="I127" t="str">
        <v>rush</v>
      </c>
    </row>
    <row r="128" spans="1:9" x14ac:dyDescent="0.2">
      <c r="A128" t="str">
        <v>INV-20250432</v>
      </c>
      <c r="B128" t="str">
        <v>Ironwood Hardware Supply</v>
      </c>
      <c r="C128" vm="71">
        <v>45737</v>
      </c>
      <c r="D128" vm="114">
        <v>45782</v>
      </c>
      <c r="E128">
        <v>-476.46</v>
      </c>
      <c r="F128" t="str">
        <v>USD</v>
      </c>
      <c r="G128" t="str">
        <v>Inventory</v>
      </c>
      <c r="H128" t="str">
        <v>Paid</v>
      </c>
      <c r="I128" t="str">
        <v>see email</v>
      </c>
    </row>
    <row r="129" spans="1:9" x14ac:dyDescent="0.2">
      <c r="A129" t="str">
        <v>INV-20250467</v>
      </c>
      <c r="B129" t="str">
        <v>Riverbend Fasteners Co.</v>
      </c>
      <c r="C129" vm="71">
        <v>45737</v>
      </c>
      <c r="D129" vm="114">
        <v>45782</v>
      </c>
      <c r="E129">
        <v>46872.24</v>
      </c>
      <c r="F129" t="str">
        <v>USD</v>
      </c>
      <c r="G129" t="str">
        <v>Inventory</v>
      </c>
      <c r="H129" t="str">
        <v>Paid</v>
      </c>
      <c r="I129" t="str">
        <v/>
      </c>
    </row>
    <row r="130" spans="1:9" x14ac:dyDescent="0.2">
      <c r="A130" t="str">
        <v>INV-20250379</v>
      </c>
      <c r="B130" t="str">
        <v>Riverbend Fasteners Co.</v>
      </c>
      <c r="C130" vm="71">
        <v>45737</v>
      </c>
      <c r="D130" vm="114">
        <v>45782</v>
      </c>
      <c r="E130">
        <v>22337.08</v>
      </c>
      <c r="F130" t="str">
        <v>USD</v>
      </c>
      <c r="G130" t="str">
        <v>Inventory</v>
      </c>
      <c r="H130" t="str">
        <v>Paid</v>
      </c>
      <c r="I130" t="str">
        <v/>
      </c>
    </row>
    <row r="131" spans="1:9" x14ac:dyDescent="0.2">
      <c r="A131" t="str">
        <v>INV-20250403</v>
      </c>
      <c r="B131" t="str">
        <v>Timberline Mills</v>
      </c>
      <c r="C131" vm="115">
        <v>45738</v>
      </c>
      <c r="D131" vm="116">
        <v>45783</v>
      </c>
      <c r="E131">
        <v>26810.65</v>
      </c>
      <c r="F131" t="str">
        <v>USD</v>
      </c>
      <c r="G131" t="str">
        <v>Inventory</v>
      </c>
      <c r="H131" t="str">
        <v>Paid</v>
      </c>
      <c r="I131" t="str">
        <v/>
      </c>
    </row>
    <row r="132" spans="1:9" x14ac:dyDescent="0.2">
      <c r="A132" t="str">
        <v>INV-20250418</v>
      </c>
      <c r="B132" t="str">
        <v>Pacific Freight Lines Inc.</v>
      </c>
      <c r="C132" vm="72">
        <v>45739</v>
      </c>
      <c r="D132" vm="117">
        <v>45769</v>
      </c>
      <c r="E132">
        <v>3880.13</v>
      </c>
      <c r="F132" t="str">
        <v>USD</v>
      </c>
      <c r="G132" t="str">
        <v>Freight</v>
      </c>
      <c r="H132" t="str">
        <v>Paid</v>
      </c>
      <c r="I132" t="str">
        <v/>
      </c>
    </row>
    <row r="133" spans="1:9" x14ac:dyDescent="0.2">
      <c r="A133" t="str">
        <v>INV-20250490</v>
      </c>
      <c r="B133" t="str">
        <v>Northgate Marketing Group</v>
      </c>
      <c r="C133" vm="72">
        <v>45739</v>
      </c>
      <c r="D133" vm="117">
        <v>45769</v>
      </c>
      <c r="E133">
        <v>13240.25</v>
      </c>
      <c r="F133" t="str">
        <v>USD</v>
      </c>
      <c r="G133" t="str">
        <v>Marketing</v>
      </c>
      <c r="H133" t="str">
        <v>Paid</v>
      </c>
      <c r="I133" t="str">
        <v/>
      </c>
    </row>
    <row r="134" spans="1:9" x14ac:dyDescent="0.2">
      <c r="A134" t="str">
        <v>INV-20250377</v>
      </c>
      <c r="B134" t="str">
        <v>Timberline Mills</v>
      </c>
      <c r="C134" vm="72">
        <v>45739</v>
      </c>
      <c r="D134" vm="118">
        <v>45784</v>
      </c>
      <c r="E134">
        <v>28249.66</v>
      </c>
      <c r="F134" t="str">
        <v>USD</v>
      </c>
      <c r="G134" t="str">
        <v>Inventory</v>
      </c>
      <c r="H134" t="str">
        <v>Paid</v>
      </c>
      <c r="I134" t="str">
        <v>see email</v>
      </c>
    </row>
    <row r="135" spans="1:9" x14ac:dyDescent="0.2">
      <c r="A135" t="str">
        <v>INV-20250534</v>
      </c>
      <c r="B135" t="str">
        <v>Pacific Freight Lines Inc.</v>
      </c>
      <c r="C135" vm="74">
        <v>45740</v>
      </c>
      <c r="D135" vm="104">
        <v>45770</v>
      </c>
      <c r="E135">
        <v>3490.12</v>
      </c>
      <c r="F135" t="str">
        <v>USD</v>
      </c>
      <c r="G135" t="str">
        <v>Freight</v>
      </c>
      <c r="H135" t="str">
        <v>Overdue</v>
      </c>
      <c r="I135" t="str">
        <v>partial shipment</v>
      </c>
    </row>
    <row r="136" spans="1:9" x14ac:dyDescent="0.2">
      <c r="A136" t="str">
        <v>INV-20250171</v>
      </c>
      <c r="B136" t="str">
        <v>Ironwood Hardware Supply</v>
      </c>
      <c r="C136" vm="74">
        <v>45740</v>
      </c>
      <c r="D136" vm="119">
        <v>45785</v>
      </c>
      <c r="E136">
        <v>26930.99</v>
      </c>
      <c r="F136" t="str">
        <v>USD</v>
      </c>
      <c r="G136" t="str">
        <v>Inventory</v>
      </c>
      <c r="H136" t="str">
        <v>Paid</v>
      </c>
      <c r="I136" t="str">
        <v/>
      </c>
    </row>
    <row r="137" spans="1:9" x14ac:dyDescent="0.2">
      <c r="A137" t="str">
        <v>INV-20250241</v>
      </c>
      <c r="B137" t="str">
        <v>Timberline Mills</v>
      </c>
      <c r="C137" vm="77">
        <v>45742</v>
      </c>
      <c r="D137" vm="120">
        <v>45787</v>
      </c>
      <c r="E137">
        <v>46344.97</v>
      </c>
      <c r="F137" t="str">
        <v>USD</v>
      </c>
      <c r="G137" t="str">
        <v>Inventory</v>
      </c>
      <c r="H137" t="str">
        <v>Paid</v>
      </c>
      <c r="I137" t="str">
        <v>see email</v>
      </c>
    </row>
    <row r="138" spans="1:9" x14ac:dyDescent="0.2">
      <c r="A138" t="str">
        <v>INV-20250237</v>
      </c>
      <c r="B138" t="str">
        <v>Ironwood Hardware Supply</v>
      </c>
      <c r="C138" vm="78">
        <v>45744</v>
      </c>
      <c r="D138" vm="121">
        <v>45789</v>
      </c>
      <c r="E138">
        <v>24378.91</v>
      </c>
      <c r="F138" t="str">
        <v>USD</v>
      </c>
      <c r="G138" t="str">
        <v>Inventory</v>
      </c>
      <c r="H138" t="str">
        <v>Paid</v>
      </c>
      <c r="I138" t="str">
        <v/>
      </c>
    </row>
    <row r="139" spans="1:9" x14ac:dyDescent="0.2">
      <c r="A139" t="str">
        <v>INV-20250212</v>
      </c>
      <c r="B139" t="str">
        <v>Timberline Mills</v>
      </c>
      <c r="C139" vm="78">
        <v>45744</v>
      </c>
      <c r="D139" vm="121">
        <v>45789</v>
      </c>
      <c r="E139">
        <v>15456.22</v>
      </c>
      <c r="F139" t="str">
        <v>USD</v>
      </c>
      <c r="G139" t="str">
        <v>Inventory</v>
      </c>
      <c r="H139" t="str">
        <v>Paid</v>
      </c>
      <c r="I139" t="str">
        <v>partial shipment</v>
      </c>
    </row>
    <row r="140" spans="1:9" x14ac:dyDescent="0.2">
      <c r="A140" t="str">
        <v>INV-20250190</v>
      </c>
      <c r="B140" t="str">
        <v>Ironwood Hardware Supply</v>
      </c>
      <c r="C140" vm="78">
        <v>45744</v>
      </c>
      <c r="D140" vm="121">
        <v>45789</v>
      </c>
      <c r="E140">
        <v>38853.46</v>
      </c>
      <c r="F140" t="str">
        <v>USD</v>
      </c>
      <c r="G140" t="str">
        <v>Inventory</v>
      </c>
      <c r="H140" t="str">
        <v>Paid</v>
      </c>
      <c r="I140" t="str">
        <v/>
      </c>
    </row>
    <row r="141" spans="1:9" x14ac:dyDescent="0.2">
      <c r="A141" t="str">
        <v>INV-20250456</v>
      </c>
      <c r="B141" t="str">
        <v>Riverbend Fasteners Co.</v>
      </c>
      <c r="C141" vm="78">
        <v>45744</v>
      </c>
      <c r="D141" vm="121">
        <v>45789</v>
      </c>
      <c r="E141">
        <v>8495.7900000000009</v>
      </c>
      <c r="F141" t="str">
        <v>USD</v>
      </c>
      <c r="G141" t="str">
        <v>Inventory</v>
      </c>
      <c r="H141" t="str">
        <v>Paid</v>
      </c>
      <c r="I141" t="str">
        <v/>
      </c>
    </row>
    <row r="142" spans="1:9" x14ac:dyDescent="0.2">
      <c r="A142" t="str">
        <v>INV-20250538</v>
      </c>
      <c r="B142" t="str">
        <v>Timberline Mills</v>
      </c>
      <c r="C142" vm="78">
        <v>45744</v>
      </c>
      <c r="D142" vm="121">
        <v>45789</v>
      </c>
      <c r="E142">
        <v>24437.08</v>
      </c>
      <c r="F142" t="str">
        <v>USD</v>
      </c>
      <c r="G142" t="str">
        <v>Inventory</v>
      </c>
      <c r="H142" t="str">
        <v>Paid</v>
      </c>
      <c r="I142" t="str">
        <v>see email</v>
      </c>
    </row>
    <row r="143" spans="1:9" x14ac:dyDescent="0.2">
      <c r="A143" t="str">
        <v>INV-20250395</v>
      </c>
      <c r="B143" t="str">
        <v>Timberline Mills</v>
      </c>
      <c r="C143" vm="80">
        <v>45745</v>
      </c>
      <c r="D143" vm="122">
        <v>45790</v>
      </c>
      <c r="E143">
        <v>19959.54</v>
      </c>
      <c r="F143" t="str">
        <v>USD</v>
      </c>
      <c r="G143" t="str">
        <v>Inventory</v>
      </c>
      <c r="H143" t="str">
        <v>Paid</v>
      </c>
      <c r="I143" t="str">
        <v/>
      </c>
    </row>
    <row r="144" spans="1:9" x14ac:dyDescent="0.2">
      <c r="A144" t="str">
        <v>INV-20250409</v>
      </c>
      <c r="B144" t="str">
        <v>Riverbend Fasteners Co.</v>
      </c>
      <c r="C144" vm="82">
        <v>45746</v>
      </c>
      <c r="D144" vm="123">
        <v>45791</v>
      </c>
      <c r="E144">
        <v>17850.91</v>
      </c>
      <c r="F144" t="str">
        <v>USD</v>
      </c>
      <c r="G144" t="str">
        <v>Inventory</v>
      </c>
      <c r="H144" t="str">
        <v>Paid</v>
      </c>
      <c r="I144" t="str">
        <v/>
      </c>
    </row>
    <row r="145" spans="1:9" x14ac:dyDescent="0.2">
      <c r="A145" t="str">
        <v>INV-20250345</v>
      </c>
      <c r="B145" t="str">
        <v>Ironwood Hardware Supply</v>
      </c>
      <c r="C145" vm="83">
        <v>45747</v>
      </c>
      <c r="D145" vm="124">
        <v>45792</v>
      </c>
      <c r="E145">
        <v>13065.4</v>
      </c>
      <c r="F145" t="str">
        <v>USD</v>
      </c>
      <c r="G145" t="str">
        <v>Inventory</v>
      </c>
      <c r="H145" t="str">
        <v>Paid</v>
      </c>
      <c r="I145" t="str">
        <v/>
      </c>
    </row>
    <row r="146" spans="1:9" x14ac:dyDescent="0.2">
      <c r="A146" t="str">
        <v>INV-20250357</v>
      </c>
      <c r="B146" t="str">
        <v>Timberline Mills</v>
      </c>
      <c r="C146" vm="84">
        <v>45749</v>
      </c>
      <c r="D146" vm="125">
        <v>45794</v>
      </c>
      <c r="E146">
        <v>5987.51</v>
      </c>
      <c r="F146" t="str">
        <v>USD</v>
      </c>
      <c r="G146" t="str">
        <v>Inventory</v>
      </c>
      <c r="H146" t="str">
        <v>Paid</v>
      </c>
      <c r="I146" t="str">
        <v/>
      </c>
    </row>
    <row r="147" spans="1:9" x14ac:dyDescent="0.2">
      <c r="A147" t="str">
        <v>INV-20250247</v>
      </c>
      <c r="B147" t="str">
        <v>Riverbend Fasteners Co.</v>
      </c>
      <c r="C147" vm="126">
        <v>45750</v>
      </c>
      <c r="D147" vm="127">
        <v>45795</v>
      </c>
      <c r="E147">
        <v>32227.71</v>
      </c>
      <c r="F147" t="str">
        <v>USD</v>
      </c>
      <c r="G147" t="str">
        <v>Inventory</v>
      </c>
      <c r="H147" t="str">
        <v>Paid</v>
      </c>
      <c r="I147" t="str">
        <v>partial shipment</v>
      </c>
    </row>
    <row r="148" spans="1:9" x14ac:dyDescent="0.2">
      <c r="A148" t="str">
        <v>INV-20250343</v>
      </c>
      <c r="B148" t="str">
        <v>Riverbend Fasteners Co.</v>
      </c>
      <c r="C148" vm="126">
        <v>45750</v>
      </c>
      <c r="D148" vm="127">
        <v>45795</v>
      </c>
      <c r="E148">
        <v>10075.280000000001</v>
      </c>
      <c r="F148" t="str">
        <v>USD</v>
      </c>
      <c r="G148" t="str">
        <v>Inventory</v>
      </c>
      <c r="H148" t="str">
        <v>Paid</v>
      </c>
      <c r="I148" t="str">
        <v>approved by JM</v>
      </c>
    </row>
    <row r="149" spans="1:9" x14ac:dyDescent="0.2">
      <c r="A149" t="str">
        <v>INV-20250021</v>
      </c>
      <c r="B149" t="str">
        <v>Riverbend Fasteners Co.</v>
      </c>
      <c r="C149" vm="128">
        <v>45751</v>
      </c>
      <c r="D149" vm="129">
        <v>45796</v>
      </c>
      <c r="E149">
        <v>-589.89</v>
      </c>
      <c r="F149" t="str">
        <v>USD</v>
      </c>
      <c r="G149" t="str">
        <v>Inventory</v>
      </c>
      <c r="H149" t="str">
        <v>Paid</v>
      </c>
      <c r="I149" t="str">
        <v/>
      </c>
    </row>
    <row r="150" spans="1:9" x14ac:dyDescent="0.2">
      <c r="A150" t="str">
        <v>INV-20250536</v>
      </c>
      <c r="B150" t="str">
        <v>Harbor Light Utilities</v>
      </c>
      <c r="C150" vm="128">
        <v>45751</v>
      </c>
      <c r="D150" vm="130">
        <v>45766</v>
      </c>
      <c r="E150">
        <v>2843.54</v>
      </c>
      <c r="F150" t="str">
        <v>USD</v>
      </c>
      <c r="G150" t="str">
        <v>Utilities</v>
      </c>
      <c r="H150" t="str">
        <v>Overdue</v>
      </c>
      <c r="I150" t="str">
        <v/>
      </c>
    </row>
    <row r="151" spans="1:9" x14ac:dyDescent="0.2">
      <c r="A151" t="str">
        <v>INV-20250189</v>
      </c>
      <c r="B151" t="str">
        <v>Pacific Freight Lines Inc.</v>
      </c>
      <c r="C151" vm="128">
        <v>45751</v>
      </c>
      <c r="D151" vm="131">
        <v>45781</v>
      </c>
      <c r="E151">
        <v>4168.07</v>
      </c>
      <c r="F151" t="str">
        <v>USD</v>
      </c>
      <c r="G151" t="str">
        <v>Freight</v>
      </c>
      <c r="H151" t="str">
        <v>Paid</v>
      </c>
      <c r="I151" t="str">
        <v/>
      </c>
    </row>
    <row r="152" spans="1:9" x14ac:dyDescent="0.2">
      <c r="A152" t="str">
        <v>INV-20250457</v>
      </c>
      <c r="B152" t="str">
        <v>Ironwood Hardware Supply</v>
      </c>
      <c r="C152" vm="132">
        <v>45752</v>
      </c>
      <c r="D152" vm="133">
        <v>45797</v>
      </c>
      <c r="E152">
        <v>32481.42</v>
      </c>
      <c r="F152" t="str">
        <v>USD</v>
      </c>
      <c r="G152" t="str">
        <v>Inventory</v>
      </c>
      <c r="H152" t="str">
        <v>Paid</v>
      </c>
      <c r="I152" t="str">
        <v>approved by JM</v>
      </c>
    </row>
    <row r="153" spans="1:9" x14ac:dyDescent="0.2">
      <c r="A153" t="str">
        <v>INV-20250155</v>
      </c>
      <c r="B153" t="str">
        <v>Riverbend Fasteners Co.</v>
      </c>
      <c r="C153" vm="91">
        <v>45754</v>
      </c>
      <c r="D153" vm="134">
        <v>45799</v>
      </c>
      <c r="E153">
        <v>18358.87</v>
      </c>
      <c r="F153" t="str">
        <v>USD</v>
      </c>
      <c r="G153" t="str">
        <v>Inventory</v>
      </c>
      <c r="H153" t="str">
        <v>Overdue</v>
      </c>
      <c r="I153" t="str">
        <v/>
      </c>
    </row>
    <row r="154" spans="1:9" x14ac:dyDescent="0.2">
      <c r="A154" t="str">
        <v>INV-20250136</v>
      </c>
      <c r="B154" t="str">
        <v>Ironwood Hardware Supply</v>
      </c>
      <c r="C154" vm="105">
        <v>45755</v>
      </c>
      <c r="D154" vm="135">
        <v>45800</v>
      </c>
      <c r="E154">
        <v>12162.54</v>
      </c>
      <c r="F154" t="str">
        <v>USD</v>
      </c>
      <c r="G154" t="str">
        <v>Inventory</v>
      </c>
      <c r="H154" t="str">
        <v>Paid</v>
      </c>
      <c r="I154" t="str">
        <v/>
      </c>
    </row>
    <row r="155" spans="1:9" x14ac:dyDescent="0.2">
      <c r="A155" t="str">
        <v>INV-20250462</v>
      </c>
      <c r="B155" t="str">
        <v>Northgate Marketing Group</v>
      </c>
      <c r="C155" vm="105">
        <v>45755</v>
      </c>
      <c r="D155" vm="119">
        <v>45785</v>
      </c>
      <c r="E155">
        <v>5883.27</v>
      </c>
      <c r="F155" t="str">
        <v>USD</v>
      </c>
      <c r="G155" t="str">
        <v>Marketing</v>
      </c>
      <c r="H155" t="str">
        <v>Paid</v>
      </c>
      <c r="I155" t="str">
        <v/>
      </c>
    </row>
    <row r="156" spans="1:9" x14ac:dyDescent="0.2">
      <c r="A156" t="str">
        <v>INV-20250213</v>
      </c>
      <c r="B156" t="str">
        <v>Ironwood Hardware Supply</v>
      </c>
      <c r="C156" vm="92">
        <v>45756</v>
      </c>
      <c r="D156" vm="136">
        <v>45801</v>
      </c>
      <c r="E156">
        <v>42727.25</v>
      </c>
      <c r="F156" t="str">
        <v>USD</v>
      </c>
      <c r="G156" t="str">
        <v>Inventory</v>
      </c>
      <c r="H156" t="str">
        <v>Paid</v>
      </c>
      <c r="I156" t="str">
        <v>rush</v>
      </c>
    </row>
    <row r="157" spans="1:9" x14ac:dyDescent="0.2">
      <c r="A157" t="str">
        <v>INV-20250259</v>
      </c>
      <c r="B157" t="str">
        <v>Riverbend Fasteners Co.</v>
      </c>
      <c r="C157" vm="92">
        <v>45756</v>
      </c>
      <c r="D157" vm="136">
        <v>45801</v>
      </c>
      <c r="E157">
        <v>24642.98</v>
      </c>
      <c r="F157" t="str">
        <v>USD</v>
      </c>
      <c r="G157" t="str">
        <v>Inventory</v>
      </c>
      <c r="H157" t="str">
        <v>Paid</v>
      </c>
      <c r="I157" t="str">
        <v>rush</v>
      </c>
    </row>
    <row r="158" spans="1:9" x14ac:dyDescent="0.2">
      <c r="A158" t="str">
        <v>INV-20250407</v>
      </c>
      <c r="B158" t="str">
        <v>Ironwood Hardware Supply</v>
      </c>
      <c r="C158" vm="92">
        <v>45756</v>
      </c>
      <c r="D158" vm="136">
        <v>45801</v>
      </c>
      <c r="E158">
        <v>23792.89</v>
      </c>
      <c r="F158" t="str">
        <v>USD</v>
      </c>
      <c r="G158" t="str">
        <v>Inventory</v>
      </c>
      <c r="H158" t="str">
        <v>Paid</v>
      </c>
      <c r="I158" t="str">
        <v/>
      </c>
    </row>
    <row r="159" spans="1:9" x14ac:dyDescent="0.2">
      <c r="A159" t="str">
        <v>INV-20250176</v>
      </c>
      <c r="B159" t="str">
        <v>Pacific Freight Lines Inc.</v>
      </c>
      <c r="C159" vm="92">
        <v>45756</v>
      </c>
      <c r="D159" vm="137">
        <v>45786</v>
      </c>
      <c r="E159">
        <v>1232.9000000000001</v>
      </c>
      <c r="F159" t="str">
        <v>USD</v>
      </c>
      <c r="G159" t="str">
        <v>Freight</v>
      </c>
      <c r="H159" t="str">
        <v>Paid</v>
      </c>
      <c r="I159" t="str">
        <v>rush</v>
      </c>
    </row>
    <row r="160" spans="1:9" x14ac:dyDescent="0.2">
      <c r="A160" t="str">
        <v>INV-20250417</v>
      </c>
      <c r="B160" t="str">
        <v>Timberline Mills</v>
      </c>
      <c r="C160" vm="94">
        <v>45758</v>
      </c>
      <c r="D160" vm="138">
        <v>45803</v>
      </c>
      <c r="E160">
        <v>15865.38</v>
      </c>
      <c r="F160" t="str">
        <v>USD</v>
      </c>
      <c r="G160" t="str">
        <v>Inventory</v>
      </c>
      <c r="H160" t="str">
        <v>Paid</v>
      </c>
      <c r="I160" t="str">
        <v>see email</v>
      </c>
    </row>
    <row r="161" spans="1:9" x14ac:dyDescent="0.2">
      <c r="A161" t="str">
        <v>INV-20250546</v>
      </c>
      <c r="B161" t="str">
        <v>Timberline Mills</v>
      </c>
      <c r="C161" vm="94">
        <v>45758</v>
      </c>
      <c r="D161" vm="138">
        <v>45803</v>
      </c>
      <c r="E161">
        <v>26385.06</v>
      </c>
      <c r="F161" t="str">
        <v>USD</v>
      </c>
      <c r="G161" t="str">
        <v>Inventory</v>
      </c>
      <c r="H161" t="str">
        <v>Paid</v>
      </c>
      <c r="I161" t="str">
        <v/>
      </c>
    </row>
    <row r="162" spans="1:9" x14ac:dyDescent="0.2">
      <c r="A162" t="str">
        <v>INV-20250509</v>
      </c>
      <c r="B162" t="str">
        <v>Harbor Light Utilities</v>
      </c>
      <c r="C162" vm="97">
        <v>45760</v>
      </c>
      <c r="D162" vm="108">
        <v>45775</v>
      </c>
      <c r="E162">
        <v>3942.81</v>
      </c>
      <c r="F162" t="str">
        <v>USD</v>
      </c>
      <c r="G162" t="str">
        <v>Utilities</v>
      </c>
      <c r="H162" t="str">
        <v>Paid</v>
      </c>
      <c r="I162" t="str">
        <v>approved by JM</v>
      </c>
    </row>
    <row r="163" spans="1:9" x14ac:dyDescent="0.2">
      <c r="A163" t="str">
        <v>INV-20250365</v>
      </c>
      <c r="B163" t="str">
        <v>BlueRiver Software</v>
      </c>
      <c r="C163" vm="97">
        <v>45760</v>
      </c>
      <c r="D163" vm="108">
        <v>45775</v>
      </c>
      <c r="E163">
        <v>-296.38</v>
      </c>
      <c r="F163" t="str">
        <v>USD</v>
      </c>
      <c r="G163" t="str">
        <v>Software</v>
      </c>
      <c r="H163" t="str">
        <v>Overdue</v>
      </c>
      <c r="I163" t="str">
        <v>rush</v>
      </c>
    </row>
    <row r="164" spans="1:9" x14ac:dyDescent="0.2">
      <c r="A164" t="str">
        <v>INV-20250069</v>
      </c>
      <c r="B164" t="str">
        <v>Pacific Freight Lines Inc.</v>
      </c>
      <c r="C164" vm="111">
        <v>45761</v>
      </c>
      <c r="D164" vm="123">
        <v>45791</v>
      </c>
      <c r="E164">
        <v>8451.2000000000007</v>
      </c>
      <c r="F164" t="str">
        <v>USD</v>
      </c>
      <c r="G164" t="str">
        <v>Freight</v>
      </c>
      <c r="H164" t="str">
        <v>Paid</v>
      </c>
      <c r="I164" t="str">
        <v>approved by JM</v>
      </c>
    </row>
    <row r="165" spans="1:9" x14ac:dyDescent="0.2">
      <c r="A165" t="str">
        <v>INV-20250373</v>
      </c>
      <c r="B165" t="str">
        <v>Ironwood Hardware Supply</v>
      </c>
      <c r="C165" vm="111">
        <v>45761</v>
      </c>
      <c r="D165" vm="139">
        <v>45806</v>
      </c>
      <c r="E165">
        <v>28137.26</v>
      </c>
      <c r="F165" t="str">
        <v>USD</v>
      </c>
      <c r="G165" t="str">
        <v>Inventory</v>
      </c>
      <c r="H165" t="str">
        <v>Paid</v>
      </c>
      <c r="I165" t="str">
        <v/>
      </c>
    </row>
    <row r="166" spans="1:9" x14ac:dyDescent="0.2">
      <c r="A166" t="str">
        <v>INV-20250560</v>
      </c>
      <c r="B166" t="str">
        <v>Northgate Marketing Group</v>
      </c>
      <c r="C166" vm="98">
        <v>45762</v>
      </c>
      <c r="D166" vm="124">
        <v>45792</v>
      </c>
      <c r="E166">
        <v>10675.85</v>
      </c>
      <c r="F166" t="str">
        <v>USD</v>
      </c>
      <c r="G166" t="str">
        <v>Marketing</v>
      </c>
      <c r="H166" t="str">
        <v>Paid</v>
      </c>
      <c r="I166" t="str">
        <v>partial shipment</v>
      </c>
    </row>
    <row r="167" spans="1:9" x14ac:dyDescent="0.2">
      <c r="A167" t="str">
        <v>INV-20250163</v>
      </c>
      <c r="B167" t="str">
        <v>Timberline Mills</v>
      </c>
      <c r="C167" vm="98">
        <v>45762</v>
      </c>
      <c r="D167" vm="140">
        <v>45807</v>
      </c>
      <c r="E167">
        <v>5384.53</v>
      </c>
      <c r="F167" t="str">
        <v>USD</v>
      </c>
      <c r="G167" t="str">
        <v>Inventory</v>
      </c>
      <c r="H167" t="str">
        <v>Paid</v>
      </c>
      <c r="I167" t="str">
        <v/>
      </c>
    </row>
    <row r="168" spans="1:9" x14ac:dyDescent="0.2">
      <c r="A168" t="str">
        <v>INV-20250188</v>
      </c>
      <c r="B168" t="str">
        <v>Northgate Marketing Group</v>
      </c>
      <c r="C168" vm="100">
        <v>45764</v>
      </c>
      <c r="D168" vm="125">
        <v>45794</v>
      </c>
      <c r="E168">
        <v>11674.26</v>
      </c>
      <c r="F168" t="str">
        <v>USD</v>
      </c>
      <c r="G168" t="str">
        <v>Marketing</v>
      </c>
      <c r="H168" t="str">
        <v>Paid</v>
      </c>
      <c r="I168" t="str">
        <v/>
      </c>
    </row>
    <row r="169" spans="1:9" x14ac:dyDescent="0.2">
      <c r="A169" t="str">
        <v>INV-20250419</v>
      </c>
      <c r="B169" t="str">
        <v>Riverbend Fasteners Co.</v>
      </c>
      <c r="C169" vm="100">
        <v>45764</v>
      </c>
      <c r="D169" vm="141">
        <v>45809</v>
      </c>
      <c r="E169">
        <v>17079.16</v>
      </c>
      <c r="F169" t="str">
        <v>USD</v>
      </c>
      <c r="G169" t="str">
        <v>Inventory</v>
      </c>
      <c r="H169" t="str">
        <v>Paid</v>
      </c>
      <c r="I169" t="str">
        <v/>
      </c>
    </row>
    <row r="170" spans="1:9" x14ac:dyDescent="0.2">
      <c r="A170" t="str">
        <v>INV-20250098</v>
      </c>
      <c r="B170" t="str">
        <v>Pacific Freight Lines Inc.</v>
      </c>
      <c r="C170" vm="102">
        <v>45765</v>
      </c>
      <c r="D170" vm="127">
        <v>45795</v>
      </c>
      <c r="E170">
        <v>1504.36</v>
      </c>
      <c r="F170" t="str">
        <v>USD</v>
      </c>
      <c r="G170" t="str">
        <v>Freight</v>
      </c>
      <c r="H170" t="str">
        <v>Paid</v>
      </c>
      <c r="I170" t="str">
        <v/>
      </c>
    </row>
    <row r="171" spans="1:9" x14ac:dyDescent="0.2">
      <c r="A171" t="str">
        <v>INV-20250254</v>
      </c>
      <c r="B171" t="str">
        <v>Harbor Light Utilities</v>
      </c>
      <c r="C171" vm="102">
        <v>45765</v>
      </c>
      <c r="D171" vm="113">
        <v>45780</v>
      </c>
      <c r="E171">
        <v>4176.67</v>
      </c>
      <c r="F171" t="str">
        <v>USD</v>
      </c>
      <c r="G171" t="str">
        <v>Utilities</v>
      </c>
      <c r="H171" t="str">
        <v>Paid</v>
      </c>
      <c r="I171" t="str">
        <v>approved by JM</v>
      </c>
    </row>
    <row r="172" spans="1:9" x14ac:dyDescent="0.2">
      <c r="A172" t="str">
        <v>INV-20250535</v>
      </c>
      <c r="B172" t="str">
        <v>Timberline Mills</v>
      </c>
      <c r="C172" vm="102">
        <v>45765</v>
      </c>
      <c r="D172" vm="142">
        <v>45810</v>
      </c>
      <c r="E172">
        <v>41459.26</v>
      </c>
      <c r="F172" t="str">
        <v>USD</v>
      </c>
      <c r="G172" t="str">
        <v>Inventory</v>
      </c>
      <c r="H172" t="str">
        <v>Paid</v>
      </c>
      <c r="I172" t="str">
        <v>see email</v>
      </c>
    </row>
    <row r="173" spans="1:9" x14ac:dyDescent="0.2">
      <c r="A173" t="str">
        <v>INV-20250044</v>
      </c>
      <c r="B173" t="str">
        <v>Pacific Freight Lines Inc.</v>
      </c>
      <c r="C173" vm="130">
        <v>45766</v>
      </c>
      <c r="D173" vm="129">
        <v>45796</v>
      </c>
      <c r="E173">
        <v>1126.75</v>
      </c>
      <c r="F173" t="str">
        <v>USD</v>
      </c>
      <c r="G173" t="str">
        <v>Freight</v>
      </c>
      <c r="H173" t="str">
        <v>Paid</v>
      </c>
      <c r="I173" t="str">
        <v>rush</v>
      </c>
    </row>
    <row r="174" spans="1:9" x14ac:dyDescent="0.2">
      <c r="A174" t="str">
        <v>INV-20250319</v>
      </c>
      <c r="B174" t="str">
        <v>Riverbend Fasteners Co.</v>
      </c>
      <c r="C174" vm="143">
        <v>45767</v>
      </c>
      <c r="D174" vm="144">
        <v>45812</v>
      </c>
      <c r="E174">
        <v>15510.26</v>
      </c>
      <c r="F174" t="str">
        <v>USD</v>
      </c>
      <c r="G174" t="str">
        <v>Inventory</v>
      </c>
      <c r="H174" t="str">
        <v>Paid</v>
      </c>
      <c r="I174" t="str">
        <v>see email</v>
      </c>
    </row>
    <row r="175" spans="1:9" x14ac:dyDescent="0.2">
      <c r="A175" t="str">
        <v>INV-20250227</v>
      </c>
      <c r="B175" t="str">
        <v>Riverbend Fasteners Co.</v>
      </c>
      <c r="C175" vm="145">
        <v>45768</v>
      </c>
      <c r="D175" vm="146">
        <v>45813</v>
      </c>
      <c r="E175">
        <v>35433.160000000003</v>
      </c>
      <c r="F175" t="str">
        <v>USD</v>
      </c>
      <c r="G175" t="str">
        <v>Inventory</v>
      </c>
      <c r="H175" t="str">
        <v>Paid</v>
      </c>
      <c r="I175" t="str">
        <v>approved by JM</v>
      </c>
    </row>
    <row r="176" spans="1:9" x14ac:dyDescent="0.2">
      <c r="A176" t="str">
        <v>INV-20250117</v>
      </c>
      <c r="B176" t="str">
        <v>Riverbend Fasteners Co.</v>
      </c>
      <c r="C176" vm="145">
        <v>45768</v>
      </c>
      <c r="D176" vm="146">
        <v>45813</v>
      </c>
      <c r="E176">
        <v>8074.32</v>
      </c>
      <c r="F176" t="str">
        <v>USD</v>
      </c>
      <c r="G176" t="str">
        <v>Inventory</v>
      </c>
      <c r="H176" t="str">
        <v>Paid</v>
      </c>
      <c r="I176" t="str">
        <v>see email</v>
      </c>
    </row>
    <row r="177" spans="1:9" x14ac:dyDescent="0.2">
      <c r="A177" t="str">
        <v>INV-20250295</v>
      </c>
      <c r="B177" t="str">
        <v>Timberline Mills</v>
      </c>
      <c r="C177" vm="117">
        <v>45769</v>
      </c>
      <c r="D177" vm="147">
        <v>45814</v>
      </c>
      <c r="E177">
        <v>42260.160000000003</v>
      </c>
      <c r="F177" t="str">
        <v>USD</v>
      </c>
      <c r="G177" t="str">
        <v>Inventory</v>
      </c>
      <c r="H177" t="str">
        <v>Paid</v>
      </c>
      <c r="I177" t="str">
        <v>approved by JM</v>
      </c>
    </row>
    <row r="178" spans="1:9" x14ac:dyDescent="0.2">
      <c r="A178" t="str">
        <v>INV-20250017</v>
      </c>
      <c r="B178" t="str">
        <v>Timberline Mills</v>
      </c>
      <c r="C178" vm="117">
        <v>45769</v>
      </c>
      <c r="D178" vm="147">
        <v>45814</v>
      </c>
      <c r="E178">
        <v>37802.25</v>
      </c>
      <c r="F178" t="str">
        <v>USD</v>
      </c>
      <c r="G178" t="str">
        <v>Inventory</v>
      </c>
      <c r="H178" t="str">
        <v>Paid</v>
      </c>
      <c r="I178" t="str">
        <v/>
      </c>
    </row>
    <row r="179" spans="1:9" x14ac:dyDescent="0.2">
      <c r="A179" t="str">
        <v>INV-20250331</v>
      </c>
      <c r="B179" t="str">
        <v>Pacific Freight Lines Inc.</v>
      </c>
      <c r="C179" vm="104">
        <v>45770</v>
      </c>
      <c r="D179" vm="135">
        <v>45800</v>
      </c>
      <c r="E179">
        <v>1530.07</v>
      </c>
      <c r="F179" t="str">
        <v>USD</v>
      </c>
      <c r="G179" t="str">
        <v>Freight</v>
      </c>
      <c r="H179" t="str">
        <v>Paid</v>
      </c>
      <c r="I179" t="str">
        <v>rush</v>
      </c>
    </row>
    <row r="180" spans="1:9" x14ac:dyDescent="0.2">
      <c r="A180" t="str">
        <v>INV-20250325</v>
      </c>
      <c r="B180" t="str">
        <v>Pacific Freight Lines Inc.</v>
      </c>
      <c r="C180" vm="106">
        <v>45771</v>
      </c>
      <c r="D180" vm="136">
        <v>45801</v>
      </c>
      <c r="E180">
        <v>2294.1999999999998</v>
      </c>
      <c r="F180" t="str">
        <v>USD</v>
      </c>
      <c r="G180" t="str">
        <v>Freight</v>
      </c>
      <c r="H180" t="str">
        <v>Overdue</v>
      </c>
      <c r="I180" t="str">
        <v>partial shipment</v>
      </c>
    </row>
    <row r="181" spans="1:9" x14ac:dyDescent="0.2">
      <c r="A181" t="str">
        <v>INV-20250257</v>
      </c>
      <c r="B181" t="str">
        <v>Timberline Mills</v>
      </c>
      <c r="C181" vm="107">
        <v>45772</v>
      </c>
      <c r="D181" vm="148">
        <v>45817</v>
      </c>
      <c r="E181">
        <v>17353.8</v>
      </c>
      <c r="F181" t="str">
        <v>USD</v>
      </c>
      <c r="G181" t="str">
        <v>Inventory</v>
      </c>
      <c r="H181" t="str">
        <v>Overdue</v>
      </c>
      <c r="I181" t="str">
        <v>see email</v>
      </c>
    </row>
    <row r="182" spans="1:9" x14ac:dyDescent="0.2">
      <c r="A182" t="str">
        <v>INV-20250354</v>
      </c>
      <c r="B182" t="str">
        <v>Timberline Mills</v>
      </c>
      <c r="C182" vm="107">
        <v>45772</v>
      </c>
      <c r="D182" vm="148">
        <v>45817</v>
      </c>
      <c r="E182">
        <v>31239.48</v>
      </c>
      <c r="F182" t="str">
        <v>USD</v>
      </c>
      <c r="G182" t="str">
        <v>Inventory</v>
      </c>
      <c r="H182" t="str">
        <v>Paid</v>
      </c>
      <c r="I182" t="str">
        <v>rush</v>
      </c>
    </row>
    <row r="183" spans="1:9" x14ac:dyDescent="0.2">
      <c r="A183" t="str">
        <v>INV-20250100</v>
      </c>
      <c r="B183" t="str">
        <v>Ironwood Hardware Supply</v>
      </c>
      <c r="C183" vm="110">
        <v>45776</v>
      </c>
      <c r="D183" vm="149">
        <v>45821</v>
      </c>
      <c r="E183">
        <v>25907.07</v>
      </c>
      <c r="F183" t="str">
        <v>USD</v>
      </c>
      <c r="G183" t="str">
        <v>Inventory</v>
      </c>
      <c r="H183" t="str">
        <v>Paid</v>
      </c>
      <c r="I183" t="str">
        <v>rush</v>
      </c>
    </row>
    <row r="184" spans="1:9" x14ac:dyDescent="0.2">
      <c r="A184" t="str">
        <v>INV-20250157</v>
      </c>
      <c r="B184" t="str">
        <v>Northgate Marketing Group</v>
      </c>
      <c r="C184" vm="110">
        <v>45776</v>
      </c>
      <c r="D184" vm="139">
        <v>45806</v>
      </c>
      <c r="E184">
        <v>15528.62</v>
      </c>
      <c r="F184" t="str">
        <v>USD</v>
      </c>
      <c r="G184" t="str">
        <v>Marketing</v>
      </c>
      <c r="H184" t="str">
        <v>Paid</v>
      </c>
      <c r="I184" t="str">
        <v>partial shipment</v>
      </c>
    </row>
    <row r="185" spans="1:9" x14ac:dyDescent="0.2">
      <c r="A185" t="str">
        <v>INV-20250479</v>
      </c>
      <c r="B185" t="str">
        <v>Ironwood Hardware Supply</v>
      </c>
      <c r="C185" vm="112">
        <v>45779</v>
      </c>
      <c r="D185" vm="150">
        <v>45824</v>
      </c>
      <c r="E185">
        <v>6077.77</v>
      </c>
      <c r="F185" t="str">
        <v>USD</v>
      </c>
      <c r="G185" t="str">
        <v>Inventory</v>
      </c>
      <c r="H185" t="str">
        <v>Paid</v>
      </c>
      <c r="I185" t="str">
        <v>see email</v>
      </c>
    </row>
    <row r="186" spans="1:9" x14ac:dyDescent="0.2">
      <c r="A186" t="str">
        <v>INV-20250033</v>
      </c>
      <c r="B186" t="str">
        <v>Pacific Freight Lines Inc.</v>
      </c>
      <c r="C186" vm="113">
        <v>45780</v>
      </c>
      <c r="D186" vm="142">
        <v>45810</v>
      </c>
      <c r="E186">
        <v>7528.5</v>
      </c>
      <c r="F186" t="str">
        <v>USD</v>
      </c>
      <c r="G186" t="str">
        <v>Freight</v>
      </c>
      <c r="H186" t="str">
        <v>Paid</v>
      </c>
      <c r="I186" t="str">
        <v>see email</v>
      </c>
    </row>
    <row r="187" spans="1:9" x14ac:dyDescent="0.2">
      <c r="A187" t="str">
        <v>INV-20250111</v>
      </c>
      <c r="B187" t="str">
        <v>Riverbend Fasteners Co.</v>
      </c>
      <c r="C187" vm="113">
        <v>45780</v>
      </c>
      <c r="D187" vm="151">
        <v>45825</v>
      </c>
      <c r="E187">
        <v>17236.8</v>
      </c>
      <c r="F187" t="str">
        <v>USD</v>
      </c>
      <c r="G187" t="str">
        <v>Inventory</v>
      </c>
      <c r="H187" t="str">
        <v>Paid</v>
      </c>
      <c r="I187" t="str">
        <v>rush</v>
      </c>
    </row>
    <row r="188" spans="1:9" x14ac:dyDescent="0.2">
      <c r="A188" t="str">
        <v>INV-20250531</v>
      </c>
      <c r="B188" t="str">
        <v>BlueRiver Software</v>
      </c>
      <c r="C188" vm="131">
        <v>45781</v>
      </c>
      <c r="D188" vm="129">
        <v>45796</v>
      </c>
      <c r="E188">
        <v>809.04</v>
      </c>
      <c r="F188" t="str">
        <v>USD</v>
      </c>
      <c r="G188" t="str">
        <v>Software</v>
      </c>
      <c r="H188" t="str">
        <v>Paid</v>
      </c>
      <c r="I188" t="str">
        <v>rush</v>
      </c>
    </row>
    <row r="189" spans="1:9" x14ac:dyDescent="0.2">
      <c r="A189" t="str">
        <v>INV-20250444</v>
      </c>
      <c r="B189" t="str">
        <v>Riverbend Fasteners Co.</v>
      </c>
      <c r="C189" vm="131">
        <v>45781</v>
      </c>
      <c r="D189" vm="152">
        <v>45826</v>
      </c>
      <c r="E189">
        <v>4258.71</v>
      </c>
      <c r="F189" t="str">
        <v>USD</v>
      </c>
      <c r="G189" t="str">
        <v>Inventory</v>
      </c>
      <c r="H189" t="str">
        <v>Paid</v>
      </c>
      <c r="I189" t="str">
        <v/>
      </c>
    </row>
    <row r="190" spans="1:9" x14ac:dyDescent="0.2">
      <c r="A190" t="str">
        <v>INV-20250388</v>
      </c>
      <c r="B190" t="str">
        <v>Riverbend Fasteners Co.</v>
      </c>
      <c r="C190" vm="114">
        <v>45782</v>
      </c>
      <c r="D190" vm="153">
        <v>45827</v>
      </c>
      <c r="E190">
        <v>46185.58</v>
      </c>
      <c r="F190" t="str">
        <v>USD</v>
      </c>
      <c r="G190" t="str">
        <v>Inventory</v>
      </c>
      <c r="H190" t="str">
        <v>Paid</v>
      </c>
      <c r="I190" t="str">
        <v>partial shipment</v>
      </c>
    </row>
    <row r="191" spans="1:9" x14ac:dyDescent="0.2">
      <c r="A191" t="str">
        <v>INV-20250149</v>
      </c>
      <c r="B191" t="str">
        <v>Pacific Freight Lines Inc.</v>
      </c>
      <c r="C191" vm="118">
        <v>45784</v>
      </c>
      <c r="D191" vm="147">
        <v>45814</v>
      </c>
      <c r="E191">
        <v>4202.83</v>
      </c>
      <c r="F191" t="str">
        <v>USD</v>
      </c>
      <c r="G191" t="str">
        <v>Freight</v>
      </c>
      <c r="H191" t="str">
        <v>Paid</v>
      </c>
      <c r="I191" t="str">
        <v/>
      </c>
    </row>
    <row r="192" spans="1:9" x14ac:dyDescent="0.2">
      <c r="A192" t="str">
        <v>INV-20250316</v>
      </c>
      <c r="B192" t="str">
        <v>Timberline Mills</v>
      </c>
      <c r="C192" vm="118">
        <v>45784</v>
      </c>
      <c r="D192" vm="154">
        <v>45829</v>
      </c>
      <c r="E192">
        <v>5962.16</v>
      </c>
      <c r="F192" t="str">
        <v>USD</v>
      </c>
      <c r="G192" t="str">
        <v>Inventory</v>
      </c>
      <c r="H192" t="str">
        <v>Paid</v>
      </c>
      <c r="I192" t="str">
        <v>approved by JM</v>
      </c>
    </row>
    <row r="193" spans="1:9" x14ac:dyDescent="0.2">
      <c r="A193" t="str">
        <v>INV-20250273</v>
      </c>
      <c r="B193" t="str">
        <v>Northgate Marketing Group</v>
      </c>
      <c r="C193" vm="118">
        <v>45784</v>
      </c>
      <c r="D193" vm="147">
        <v>45814</v>
      </c>
      <c r="E193">
        <v>10221.719999999999</v>
      </c>
      <c r="F193" t="str">
        <v>EUR</v>
      </c>
      <c r="G193" t="str">
        <v>Marketing</v>
      </c>
      <c r="H193" t="str">
        <v>Paid</v>
      </c>
      <c r="I193" t="str">
        <v/>
      </c>
    </row>
    <row r="194" spans="1:9" x14ac:dyDescent="0.2">
      <c r="A194" t="str">
        <v>INV-20250221</v>
      </c>
      <c r="B194" t="str">
        <v>Timberline Mills</v>
      </c>
      <c r="C194" vm="118">
        <v>45784</v>
      </c>
      <c r="D194" vm="154">
        <v>45829</v>
      </c>
      <c r="E194">
        <v>13051.83</v>
      </c>
      <c r="F194" t="str">
        <v>USD</v>
      </c>
      <c r="G194" t="str">
        <v>Inventory</v>
      </c>
      <c r="H194" t="str">
        <v>Paid</v>
      </c>
      <c r="I194" t="str">
        <v>approved by JM</v>
      </c>
    </row>
    <row r="195" spans="1:9" x14ac:dyDescent="0.2">
      <c r="A195" t="str">
        <v>INV-20250442</v>
      </c>
      <c r="B195" t="str">
        <v>Ironwood Hardware Supply</v>
      </c>
      <c r="C195" vm="119">
        <v>45785</v>
      </c>
      <c r="D195" vm="155">
        <v>45830</v>
      </c>
      <c r="E195">
        <v>46398.7</v>
      </c>
      <c r="F195" t="str">
        <v>USD</v>
      </c>
      <c r="G195" t="str">
        <v>Inventory</v>
      </c>
      <c r="H195" t="str">
        <v>Paid</v>
      </c>
      <c r="I195" t="str">
        <v/>
      </c>
    </row>
    <row r="196" spans="1:9" x14ac:dyDescent="0.2">
      <c r="A196" t="str">
        <v>INV-20250349</v>
      </c>
      <c r="B196" t="str">
        <v>Ironwood Hardware Supply</v>
      </c>
      <c r="C196" vm="119">
        <v>45785</v>
      </c>
      <c r="D196" vm="155">
        <v>45830</v>
      </c>
      <c r="E196">
        <v>12186.3</v>
      </c>
      <c r="F196" t="str">
        <v>USD</v>
      </c>
      <c r="G196" t="str">
        <v>Inventory</v>
      </c>
      <c r="H196" t="str">
        <v>Paid</v>
      </c>
      <c r="I196" t="str">
        <v/>
      </c>
    </row>
    <row r="197" spans="1:9" x14ac:dyDescent="0.2">
      <c r="A197" t="str">
        <v>INV-20250146</v>
      </c>
      <c r="B197" t="str">
        <v>Ironwood Hardware Supply</v>
      </c>
      <c r="C197" vm="137">
        <v>45786</v>
      </c>
      <c r="D197" vm="156">
        <v>45831</v>
      </c>
      <c r="E197">
        <v>44195.93</v>
      </c>
      <c r="F197" t="str">
        <v>USD</v>
      </c>
      <c r="G197" t="str">
        <v>Inventory</v>
      </c>
      <c r="H197" t="str">
        <v>Paid</v>
      </c>
      <c r="I197" t="str">
        <v>approved by JM</v>
      </c>
    </row>
    <row r="198" spans="1:9" x14ac:dyDescent="0.2">
      <c r="A198" t="str">
        <v>INV-20250410</v>
      </c>
      <c r="B198" t="str">
        <v>Riverbend Fasteners Co.</v>
      </c>
      <c r="C198" vm="120">
        <v>45787</v>
      </c>
      <c r="D198" vm="157">
        <v>45832</v>
      </c>
      <c r="E198">
        <v>46241.279999999999</v>
      </c>
      <c r="F198" t="str">
        <v>USD</v>
      </c>
      <c r="G198" t="str">
        <v>Inventory</v>
      </c>
      <c r="H198" t="str">
        <v>Overdue</v>
      </c>
      <c r="I198" t="str">
        <v>rush</v>
      </c>
    </row>
    <row r="199" spans="1:9" x14ac:dyDescent="0.2">
      <c r="A199" t="str">
        <v>INV-20250458</v>
      </c>
      <c r="B199" t="str">
        <v>Ironwood Hardware Supply</v>
      </c>
      <c r="C199" vm="120">
        <v>45787</v>
      </c>
      <c r="D199" vm="157">
        <v>45832</v>
      </c>
      <c r="E199">
        <v>14532.71</v>
      </c>
      <c r="F199" t="str">
        <v>USD</v>
      </c>
      <c r="G199" t="str">
        <v>Inventory</v>
      </c>
      <c r="H199" t="str">
        <v>Paid</v>
      </c>
      <c r="I199" t="str">
        <v/>
      </c>
    </row>
    <row r="200" spans="1:9" x14ac:dyDescent="0.2">
      <c r="A200" t="str">
        <v>INV-20250090</v>
      </c>
      <c r="B200" t="str">
        <v>Northgate Marketing Group</v>
      </c>
      <c r="C200" vm="120">
        <v>45787</v>
      </c>
      <c r="D200" vm="148">
        <v>45817</v>
      </c>
      <c r="E200">
        <v>15042.89</v>
      </c>
      <c r="F200" t="str">
        <v>USD</v>
      </c>
      <c r="G200" t="str">
        <v>Marketing</v>
      </c>
      <c r="H200" t="str">
        <v>Paid</v>
      </c>
      <c r="I200" t="str">
        <v>approved by JM</v>
      </c>
    </row>
    <row r="201" spans="1:9" x14ac:dyDescent="0.2">
      <c r="A201" t="str">
        <v>INV-20250057</v>
      </c>
      <c r="B201" t="str">
        <v>Timberline Mills</v>
      </c>
      <c r="C201" vm="120">
        <v>45787</v>
      </c>
      <c r="D201" vm="157">
        <v>45832</v>
      </c>
      <c r="E201">
        <v>42844.639999999999</v>
      </c>
      <c r="F201" t="str">
        <v>USD</v>
      </c>
      <c r="G201" t="str">
        <v>Inventory</v>
      </c>
      <c r="H201" t="str">
        <v>Paid</v>
      </c>
      <c r="I201" t="str">
        <v/>
      </c>
    </row>
    <row r="202" spans="1:9" x14ac:dyDescent="0.2">
      <c r="A202" t="str">
        <v>INV-20250329</v>
      </c>
      <c r="B202" t="str">
        <v>Ironwood Hardware Supply</v>
      </c>
      <c r="C202" vm="121">
        <v>45789</v>
      </c>
      <c r="D202" vm="158">
        <v>45834</v>
      </c>
      <c r="E202">
        <v>21162.12</v>
      </c>
      <c r="F202" t="str">
        <v>USD</v>
      </c>
      <c r="G202" t="str">
        <v>Inventory</v>
      </c>
      <c r="H202" t="str">
        <v>Paid</v>
      </c>
      <c r="I202" t="str">
        <v/>
      </c>
    </row>
    <row r="203" spans="1:9" x14ac:dyDescent="0.2">
      <c r="A203" t="str">
        <v>INV-20250045</v>
      </c>
      <c r="B203" t="str">
        <v>Ironwood Hardware Supply</v>
      </c>
      <c r="C203" vm="122">
        <v>45790</v>
      </c>
      <c r="D203" vm="159">
        <v>45835</v>
      </c>
      <c r="E203">
        <v>27951.52</v>
      </c>
      <c r="F203" t="str">
        <v>USD</v>
      </c>
      <c r="G203" t="str">
        <v>Inventory</v>
      </c>
      <c r="H203" t="str">
        <v>Paid</v>
      </c>
      <c r="I203" t="str">
        <v/>
      </c>
    </row>
    <row r="204" spans="1:9" x14ac:dyDescent="0.2">
      <c r="A204" t="str">
        <v>INV-20250441</v>
      </c>
      <c r="B204" t="str">
        <v>Keller &amp; Moss CPAs</v>
      </c>
      <c r="C204" vm="123">
        <v>45791</v>
      </c>
      <c r="D204" vm="149">
        <v>45821</v>
      </c>
      <c r="E204">
        <v>3332.57</v>
      </c>
      <c r="F204" t="str">
        <v>USD</v>
      </c>
      <c r="G204" t="str">
        <v>Professional Fees</v>
      </c>
      <c r="H204" t="str">
        <v>Paid</v>
      </c>
      <c r="I204" t="str">
        <v>partial shipment</v>
      </c>
    </row>
    <row r="205" spans="1:9" x14ac:dyDescent="0.2">
      <c r="A205" t="str">
        <v>INV-20250154</v>
      </c>
      <c r="B205" t="str">
        <v>Ironwood Hardware Supply</v>
      </c>
      <c r="C205" vm="123">
        <v>45791</v>
      </c>
      <c r="D205" vm="160">
        <v>45836</v>
      </c>
      <c r="E205">
        <v>12764.36</v>
      </c>
      <c r="F205" t="str">
        <v>USD</v>
      </c>
      <c r="G205" t="str">
        <v>Inventory</v>
      </c>
      <c r="H205" t="str">
        <v>Paid</v>
      </c>
      <c r="I205" t="str">
        <v/>
      </c>
    </row>
    <row r="206" spans="1:9" x14ac:dyDescent="0.2">
      <c r="A206" t="str">
        <v>INV-20250558</v>
      </c>
      <c r="B206" t="str">
        <v>Ironwood Hardware Supply</v>
      </c>
      <c r="C206" vm="124">
        <v>45792</v>
      </c>
      <c r="D206" vm="161">
        <v>45837</v>
      </c>
      <c r="E206">
        <v>43984.87</v>
      </c>
      <c r="F206" t="str">
        <v>USD</v>
      </c>
      <c r="G206" t="str">
        <v>Inventory</v>
      </c>
      <c r="H206" t="str">
        <v>Paid</v>
      </c>
      <c r="I206" t="str">
        <v>see email</v>
      </c>
    </row>
    <row r="207" spans="1:9" x14ac:dyDescent="0.2">
      <c r="A207" t="str">
        <v>INV-20250210</v>
      </c>
      <c r="B207" t="str">
        <v>Timberline Mills</v>
      </c>
      <c r="C207" vm="125">
        <v>45794</v>
      </c>
      <c r="D207" vm="162">
        <v>45839</v>
      </c>
      <c r="E207">
        <v>31978.1</v>
      </c>
      <c r="F207" t="str">
        <v>USD</v>
      </c>
      <c r="G207" t="str">
        <v>Inventory</v>
      </c>
      <c r="H207" t="str">
        <v>Paid</v>
      </c>
      <c r="I207" t="str">
        <v>see email</v>
      </c>
    </row>
    <row r="208" spans="1:9" x14ac:dyDescent="0.2">
      <c r="A208" t="str">
        <v>INV-20250335</v>
      </c>
      <c r="B208" t="str">
        <v>Timberline Mills</v>
      </c>
      <c r="C208" vm="125">
        <v>45794</v>
      </c>
      <c r="D208" vm="162">
        <v>45839</v>
      </c>
      <c r="E208">
        <v>22403.57</v>
      </c>
      <c r="F208" t="str">
        <v>USD</v>
      </c>
      <c r="G208" t="str">
        <v>Inventory</v>
      </c>
      <c r="H208" t="str">
        <v>Paid</v>
      </c>
      <c r="I208" t="str">
        <v/>
      </c>
    </row>
    <row r="209" spans="1:9" x14ac:dyDescent="0.2">
      <c r="A209" t="str">
        <v>INV-20250262</v>
      </c>
      <c r="B209" t="str">
        <v>Pacific Freight Lines Inc.</v>
      </c>
      <c r="C209" vm="125">
        <v>45794</v>
      </c>
      <c r="D209" vm="150">
        <v>45824</v>
      </c>
      <c r="E209">
        <v>6604.02</v>
      </c>
      <c r="F209" t="str">
        <v>USD</v>
      </c>
      <c r="G209" t="str">
        <v>Freight</v>
      </c>
      <c r="H209" t="str">
        <v>Overdue</v>
      </c>
      <c r="I209" t="str">
        <v/>
      </c>
    </row>
    <row r="210" spans="1:9" x14ac:dyDescent="0.2">
      <c r="A210" t="str">
        <v>INV-20250488</v>
      </c>
      <c r="B210" t="str">
        <v>Riverbend Fasteners Co.</v>
      </c>
      <c r="C210" vm="127">
        <v>45795</v>
      </c>
      <c r="D210" vm="163">
        <v>45840</v>
      </c>
      <c r="E210">
        <v>-509.49</v>
      </c>
      <c r="F210" t="str">
        <v>USD</v>
      </c>
      <c r="G210" t="str">
        <v>Inventory</v>
      </c>
      <c r="H210" t="str">
        <v>Paid</v>
      </c>
      <c r="I210" t="str">
        <v/>
      </c>
    </row>
    <row r="211" spans="1:9" x14ac:dyDescent="0.2">
      <c r="A211" t="str">
        <v>INV-20250381</v>
      </c>
      <c r="B211" t="str">
        <v>Northgate Marketing Group</v>
      </c>
      <c r="C211" vm="127">
        <v>45795</v>
      </c>
      <c r="D211" vm="151">
        <v>45825</v>
      </c>
      <c r="E211">
        <v>14666.61</v>
      </c>
      <c r="F211" t="str">
        <v>USD</v>
      </c>
      <c r="G211" t="str">
        <v>Marketing</v>
      </c>
      <c r="H211" t="str">
        <v>Paid</v>
      </c>
      <c r="I211" t="str">
        <v/>
      </c>
    </row>
    <row r="212" spans="1:9" x14ac:dyDescent="0.2">
      <c r="A212" t="str">
        <v>INV-20250370</v>
      </c>
      <c r="B212" t="str">
        <v>Northgate Marketing Group</v>
      </c>
      <c r="C212" vm="127">
        <v>45795</v>
      </c>
      <c r="D212" vm="151">
        <v>45825</v>
      </c>
      <c r="E212">
        <v>3809.35</v>
      </c>
      <c r="F212" t="str">
        <v>USD</v>
      </c>
      <c r="G212" t="str">
        <v>Marketing</v>
      </c>
      <c r="H212" t="str">
        <v>Overdue</v>
      </c>
      <c r="I212" t="str">
        <v>see email</v>
      </c>
    </row>
    <row r="213" spans="1:9" x14ac:dyDescent="0.2">
      <c r="A213" t="str">
        <v>INV-20250165</v>
      </c>
      <c r="B213" t="str">
        <v>Riverbend Fasteners Co.</v>
      </c>
      <c r="C213" vm="129">
        <v>45796</v>
      </c>
      <c r="D213" vm="164">
        <v>45841</v>
      </c>
      <c r="E213">
        <v>22030.71</v>
      </c>
      <c r="F213" t="str">
        <v>USD</v>
      </c>
      <c r="G213" t="str">
        <v>Inventory</v>
      </c>
      <c r="H213" t="str">
        <v>Paid</v>
      </c>
      <c r="I213" t="str">
        <v>partial shipment</v>
      </c>
    </row>
    <row r="214" spans="1:9" x14ac:dyDescent="0.2">
      <c r="A214" t="str">
        <v>INV-20250014</v>
      </c>
      <c r="B214" t="str">
        <v>Timberline Mills</v>
      </c>
      <c r="C214" vm="129">
        <v>45796</v>
      </c>
      <c r="D214" vm="164">
        <v>45841</v>
      </c>
      <c r="E214">
        <v>24860.33</v>
      </c>
      <c r="F214" t="str">
        <v>USD</v>
      </c>
      <c r="G214" t="str">
        <v>Inventory</v>
      </c>
      <c r="H214" t="str">
        <v>Paid</v>
      </c>
      <c r="I214" t="str">
        <v>rush</v>
      </c>
    </row>
    <row r="215" spans="1:9" x14ac:dyDescent="0.2">
      <c r="A215" t="str">
        <v>INV-20250281</v>
      </c>
      <c r="B215" t="str">
        <v>Northgate Marketing Group</v>
      </c>
      <c r="C215" vm="133">
        <v>45797</v>
      </c>
      <c r="D215" vm="153">
        <v>45827</v>
      </c>
      <c r="E215">
        <v>16030.95</v>
      </c>
      <c r="F215" t="str">
        <v>USD</v>
      </c>
      <c r="G215" t="str">
        <v>Marketing</v>
      </c>
      <c r="H215" t="str">
        <v>Paid</v>
      </c>
      <c r="I215" t="str">
        <v/>
      </c>
    </row>
    <row r="216" spans="1:9" x14ac:dyDescent="0.2">
      <c r="A216" t="str">
        <v>INV-20250187</v>
      </c>
      <c r="B216" t="str">
        <v>Riverbend Fasteners Co.</v>
      </c>
      <c r="C216" vm="165">
        <v>45798</v>
      </c>
      <c r="D216" vm="166">
        <v>45843</v>
      </c>
      <c r="E216">
        <v>43822.74</v>
      </c>
      <c r="F216" t="str">
        <v>USD</v>
      </c>
      <c r="G216" t="str">
        <v>Inventory</v>
      </c>
      <c r="H216" t="str">
        <v>Paid</v>
      </c>
      <c r="I216" t="str">
        <v/>
      </c>
    </row>
    <row r="217" spans="1:9" x14ac:dyDescent="0.2">
      <c r="A217" t="str">
        <v>INV-20250380</v>
      </c>
      <c r="B217" t="str">
        <v>Riverbend Fasteners Co.</v>
      </c>
      <c r="C217" vm="134">
        <v>45799</v>
      </c>
      <c r="D217" vm="167">
        <v>45844</v>
      </c>
      <c r="E217">
        <v>40132.519999999997</v>
      </c>
      <c r="F217" t="str">
        <v>USD</v>
      </c>
      <c r="G217" t="str">
        <v>Inventory</v>
      </c>
      <c r="H217" t="str">
        <v>Paid</v>
      </c>
      <c r="I217" t="str">
        <v>rush</v>
      </c>
    </row>
    <row r="218" spans="1:9" x14ac:dyDescent="0.2">
      <c r="A218" t="str">
        <v>INV-20250428</v>
      </c>
      <c r="B218" t="str">
        <v>Timberline Mills</v>
      </c>
      <c r="C218" vm="134">
        <v>45799</v>
      </c>
      <c r="D218" vm="167">
        <v>45844</v>
      </c>
      <c r="E218">
        <v>11761.31</v>
      </c>
      <c r="F218" t="str">
        <v>USD</v>
      </c>
      <c r="G218" t="str">
        <v>Inventory</v>
      </c>
      <c r="H218" t="str">
        <v>Paid</v>
      </c>
      <c r="I218" t="str">
        <v/>
      </c>
    </row>
    <row r="219" spans="1:9" x14ac:dyDescent="0.2">
      <c r="A219" t="str">
        <v>INV-20250416</v>
      </c>
      <c r="B219" t="str">
        <v>Timberline Mills</v>
      </c>
      <c r="C219" vm="135">
        <v>45800</v>
      </c>
      <c r="D219" vm="168">
        <v>45845</v>
      </c>
      <c r="E219">
        <v>33228.07</v>
      </c>
      <c r="F219" t="str">
        <v>USD</v>
      </c>
      <c r="G219" t="str">
        <v>Inventory</v>
      </c>
      <c r="H219" t="str">
        <v>Paid</v>
      </c>
      <c r="I219" t="str">
        <v>see email</v>
      </c>
    </row>
    <row r="220" spans="1:9" x14ac:dyDescent="0.2">
      <c r="A220" t="str">
        <v>INV-20250138</v>
      </c>
      <c r="B220" t="str">
        <v>Timberline Mills</v>
      </c>
      <c r="C220" vm="136">
        <v>45801</v>
      </c>
      <c r="D220" vm="169">
        <v>45846</v>
      </c>
      <c r="E220">
        <v>7553.57</v>
      </c>
      <c r="F220" t="str">
        <v>USD</v>
      </c>
      <c r="G220" t="str">
        <v>Inventory</v>
      </c>
      <c r="H220" t="str">
        <v>Paid</v>
      </c>
      <c r="I220" t="str">
        <v>rush</v>
      </c>
    </row>
    <row r="221" spans="1:9" x14ac:dyDescent="0.2">
      <c r="A221" t="str">
        <v>INV-20250498</v>
      </c>
      <c r="B221" t="str">
        <v>Ironwood Hardware Supply</v>
      </c>
      <c r="C221" vm="170">
        <v>45802</v>
      </c>
      <c r="D221" vm="171">
        <v>45847</v>
      </c>
      <c r="E221">
        <v>38893.85</v>
      </c>
      <c r="F221" t="str">
        <v>USD</v>
      </c>
      <c r="G221" t="str">
        <v>Inventory</v>
      </c>
      <c r="H221" t="str">
        <v>Paid</v>
      </c>
      <c r="I221" t="str">
        <v>approved by JM</v>
      </c>
    </row>
    <row r="222" spans="1:9" x14ac:dyDescent="0.2">
      <c r="A222" t="str">
        <v>INV-20250224</v>
      </c>
      <c r="B222" t="str">
        <v>Ironwood Hardware Supply</v>
      </c>
      <c r="C222" vm="170">
        <v>45802</v>
      </c>
      <c r="D222" vm="171">
        <v>45847</v>
      </c>
      <c r="E222">
        <v>6129.95</v>
      </c>
      <c r="F222" t="str">
        <v>USD</v>
      </c>
      <c r="G222" t="str">
        <v>Inventory</v>
      </c>
      <c r="H222" t="str">
        <v>Paid</v>
      </c>
      <c r="I222" t="str">
        <v>rush</v>
      </c>
    </row>
    <row r="223" spans="1:9" x14ac:dyDescent="0.2">
      <c r="A223" t="str">
        <v>INV-20250110</v>
      </c>
      <c r="B223" t="str">
        <v>Ironwood Hardware Supply</v>
      </c>
      <c r="C223" vm="170">
        <v>45802</v>
      </c>
      <c r="D223" vm="171">
        <v>45847</v>
      </c>
      <c r="E223">
        <v>17101.96</v>
      </c>
      <c r="F223" t="str">
        <v>USD</v>
      </c>
      <c r="G223" t="str">
        <v>Inventory</v>
      </c>
      <c r="H223" t="str">
        <v>Overdue</v>
      </c>
      <c r="I223" t="str">
        <v/>
      </c>
    </row>
    <row r="224" spans="1:9" x14ac:dyDescent="0.2">
      <c r="A224" t="str">
        <v>INV-20250342</v>
      </c>
      <c r="B224" t="str">
        <v>Northgate Marketing Group</v>
      </c>
      <c r="C224" vm="172">
        <v>45804</v>
      </c>
      <c r="D224" vm="158">
        <v>45834</v>
      </c>
      <c r="E224">
        <v>5380.22</v>
      </c>
      <c r="F224" t="str">
        <v>USD</v>
      </c>
      <c r="G224" t="str">
        <v>Marketing</v>
      </c>
      <c r="H224" t="str">
        <v>Paid</v>
      </c>
      <c r="I224" t="str">
        <v/>
      </c>
    </row>
    <row r="225" spans="1:9" x14ac:dyDescent="0.2">
      <c r="A225" t="str">
        <v>INV-20250185</v>
      </c>
      <c r="B225" t="str">
        <v>Northgate Marketing Group</v>
      </c>
      <c r="C225" vm="173">
        <v>45805</v>
      </c>
      <c r="D225" vm="159">
        <v>45835</v>
      </c>
      <c r="E225">
        <v>17327.91</v>
      </c>
      <c r="F225" t="str">
        <v>USD</v>
      </c>
      <c r="G225" t="str">
        <v>Marketing</v>
      </c>
      <c r="H225" t="str">
        <v>Paid</v>
      </c>
      <c r="I225" t="str">
        <v>approved by JM</v>
      </c>
    </row>
    <row r="226" spans="1:9" x14ac:dyDescent="0.2">
      <c r="A226" t="str">
        <v>INV-20250369</v>
      </c>
      <c r="B226" t="str">
        <v>Timberline Mills</v>
      </c>
      <c r="C226" vm="173">
        <v>45805</v>
      </c>
      <c r="D226" vm="174">
        <v>45850</v>
      </c>
      <c r="E226">
        <v>8973.93</v>
      </c>
      <c r="F226" t="str">
        <v>USD</v>
      </c>
      <c r="G226" t="str">
        <v>Inventory</v>
      </c>
      <c r="H226" t="str">
        <v>Paid</v>
      </c>
      <c r="I226" t="str">
        <v>see email</v>
      </c>
    </row>
    <row r="227" spans="1:9" x14ac:dyDescent="0.2">
      <c r="A227" t="str">
        <v>INV-20250308</v>
      </c>
      <c r="B227" t="str">
        <v>Timberline Mills</v>
      </c>
      <c r="C227" vm="173">
        <v>45805</v>
      </c>
      <c r="D227" vm="174">
        <v>45850</v>
      </c>
      <c r="E227">
        <v>40662.160000000003</v>
      </c>
      <c r="F227" t="str">
        <v>USD</v>
      </c>
      <c r="G227" t="str">
        <v>Inventory</v>
      </c>
      <c r="H227" t="str">
        <v>Paid</v>
      </c>
      <c r="I227" t="str">
        <v/>
      </c>
    </row>
    <row r="228" spans="1:9" x14ac:dyDescent="0.2">
      <c r="A228" t="str">
        <v>INV-20250092</v>
      </c>
      <c r="B228" t="str">
        <v>Riverbend Fasteners Co.</v>
      </c>
      <c r="C228" vm="173">
        <v>45805</v>
      </c>
      <c r="D228" vm="174">
        <v>45850</v>
      </c>
      <c r="E228">
        <v>37746.68</v>
      </c>
      <c r="F228" t="str">
        <v>USD</v>
      </c>
      <c r="G228" t="str">
        <v>Inventory</v>
      </c>
      <c r="H228" t="str">
        <v>Paid</v>
      </c>
      <c r="I228" t="str">
        <v>approved by JM</v>
      </c>
    </row>
    <row r="229" spans="1:9" x14ac:dyDescent="0.2">
      <c r="A229" t="str">
        <v>INV-20250061</v>
      </c>
      <c r="B229" t="str">
        <v>Riverbend Fasteners Co.</v>
      </c>
      <c r="C229" vm="141">
        <v>45809</v>
      </c>
      <c r="D229" vm="175">
        <v>45854</v>
      </c>
      <c r="E229">
        <v>26539.54</v>
      </c>
      <c r="F229" t="str">
        <v>USD</v>
      </c>
      <c r="G229" t="str">
        <v>Inventory</v>
      </c>
      <c r="H229" t="str">
        <v>Overdue</v>
      </c>
      <c r="I229" t="str">
        <v/>
      </c>
    </row>
    <row r="230" spans="1:9" x14ac:dyDescent="0.2">
      <c r="A230" t="str">
        <v>INV-20250244</v>
      </c>
      <c r="B230" t="str">
        <v>Riverbend Fasteners Co.</v>
      </c>
      <c r="C230" vm="141">
        <v>45809</v>
      </c>
      <c r="D230" vm="175">
        <v>45854</v>
      </c>
      <c r="E230">
        <v>24384.29</v>
      </c>
      <c r="F230" t="str">
        <v>USD</v>
      </c>
      <c r="G230" t="str">
        <v>Inventory</v>
      </c>
      <c r="H230" t="str">
        <v>Paid</v>
      </c>
      <c r="I230" t="str">
        <v/>
      </c>
    </row>
    <row r="231" spans="1:9" x14ac:dyDescent="0.2">
      <c r="A231" t="str">
        <v>INV-20250455</v>
      </c>
      <c r="B231" t="str">
        <v>Timberline Mills</v>
      </c>
      <c r="C231" vm="141">
        <v>45809</v>
      </c>
      <c r="D231" vm="175">
        <v>45854</v>
      </c>
      <c r="E231">
        <v>20187.060000000001</v>
      </c>
      <c r="F231" t="str">
        <v>USD</v>
      </c>
      <c r="G231" t="str">
        <v>Inventory</v>
      </c>
      <c r="H231" t="str">
        <v>Paid</v>
      </c>
      <c r="I231" t="str">
        <v/>
      </c>
    </row>
    <row r="232" spans="1:9" x14ac:dyDescent="0.2">
      <c r="A232" t="str">
        <v>INV-20250211</v>
      </c>
      <c r="B232" t="str">
        <v>Ironwood Hardware Supply</v>
      </c>
      <c r="C232" vm="141">
        <v>45809</v>
      </c>
      <c r="D232" vm="175">
        <v>45854</v>
      </c>
      <c r="E232">
        <v>32248.14</v>
      </c>
      <c r="F232" t="str">
        <v>USD</v>
      </c>
      <c r="G232" t="str">
        <v>Inventory</v>
      </c>
      <c r="H232" t="str">
        <v>Paid</v>
      </c>
      <c r="I232" t="str">
        <v>see email</v>
      </c>
    </row>
    <row r="233" spans="1:9" x14ac:dyDescent="0.2">
      <c r="A233" t="str">
        <v>INV-20250242</v>
      </c>
      <c r="B233" t="str">
        <v>Ironwood Hardware Supply</v>
      </c>
      <c r="C233" vm="142">
        <v>45810</v>
      </c>
      <c r="D233" vm="176">
        <v>45855</v>
      </c>
      <c r="E233">
        <v>23136.61</v>
      </c>
      <c r="F233" t="str">
        <v>USD</v>
      </c>
      <c r="G233" t="str">
        <v>Inventory</v>
      </c>
      <c r="H233" t="str">
        <v>Paid</v>
      </c>
      <c r="I233" t="str">
        <v/>
      </c>
    </row>
    <row r="234" spans="1:9" x14ac:dyDescent="0.2">
      <c r="A234" t="str">
        <v>INV-20250328</v>
      </c>
      <c r="B234" t="str">
        <v>Riverbend Fasteners Co.</v>
      </c>
      <c r="C234" vm="142">
        <v>45810</v>
      </c>
      <c r="D234" vm="176">
        <v>45855</v>
      </c>
      <c r="E234">
        <v>29950.57</v>
      </c>
      <c r="F234" t="str">
        <v>USD</v>
      </c>
      <c r="G234" t="str">
        <v>Inventory</v>
      </c>
      <c r="H234" t="str">
        <v>Paid</v>
      </c>
      <c r="I234" t="str">
        <v/>
      </c>
    </row>
    <row r="235" spans="1:9" x14ac:dyDescent="0.2">
      <c r="A235" t="str">
        <v>INV-20250480</v>
      </c>
      <c r="B235" t="str">
        <v>Harbor Light Utilities</v>
      </c>
      <c r="C235" vm="177">
        <v>45811</v>
      </c>
      <c r="D235" vm="152">
        <v>45826</v>
      </c>
      <c r="E235">
        <v>2089.29</v>
      </c>
      <c r="F235" t="str">
        <v>USD</v>
      </c>
      <c r="G235" t="str">
        <v>Utilities</v>
      </c>
      <c r="H235" t="str">
        <v>Paid</v>
      </c>
      <c r="I235" t="str">
        <v/>
      </c>
    </row>
    <row r="236" spans="1:9" x14ac:dyDescent="0.2">
      <c r="A236" t="str">
        <v>INV-20250009</v>
      </c>
      <c r="B236" t="str">
        <v>Ironwood Hardware Supply</v>
      </c>
      <c r="C236" vm="177">
        <v>45811</v>
      </c>
      <c r="D236" vm="178">
        <v>45856</v>
      </c>
      <c r="E236">
        <v>14930.77</v>
      </c>
      <c r="F236" t="str">
        <v>USD</v>
      </c>
      <c r="G236" t="str">
        <v>Inventory</v>
      </c>
      <c r="H236" t="str">
        <v>Paid</v>
      </c>
      <c r="I236" t="str">
        <v/>
      </c>
    </row>
    <row r="237" spans="1:9" x14ac:dyDescent="0.2">
      <c r="A237" t="str">
        <v>INV-20250081</v>
      </c>
      <c r="B237" t="str">
        <v>Timberline Mills</v>
      </c>
      <c r="C237" vm="177">
        <v>45811</v>
      </c>
      <c r="D237" vm="178">
        <v>45856</v>
      </c>
      <c r="E237">
        <v>17386.759999999998</v>
      </c>
      <c r="F237" t="str">
        <v>USD</v>
      </c>
      <c r="G237" t="str">
        <v>Inventory</v>
      </c>
      <c r="H237" t="str">
        <v>Paid</v>
      </c>
      <c r="I237" t="str">
        <v>approved by JM</v>
      </c>
    </row>
    <row r="238" spans="1:9" x14ac:dyDescent="0.2">
      <c r="A238" t="str">
        <v>INV-20250284</v>
      </c>
      <c r="B238" t="str">
        <v>Ironwood Hardware Supply</v>
      </c>
      <c r="C238" vm="177">
        <v>45811</v>
      </c>
      <c r="D238" vm="178">
        <v>45856</v>
      </c>
      <c r="E238">
        <v>8774.02</v>
      </c>
      <c r="F238" t="str">
        <v>USD</v>
      </c>
      <c r="G238" t="str">
        <v>Inventory</v>
      </c>
      <c r="H238" t="str">
        <v>Paid</v>
      </c>
      <c r="I238" t="str">
        <v>rush</v>
      </c>
    </row>
    <row r="239" spans="1:9" x14ac:dyDescent="0.2">
      <c r="A239" t="str">
        <v>INV-20250445</v>
      </c>
      <c r="B239" t="str">
        <v>Riverbend Fasteners Co.</v>
      </c>
      <c r="C239" vm="177">
        <v>45811</v>
      </c>
      <c r="D239" vm="178">
        <v>45856</v>
      </c>
      <c r="E239">
        <v>9869.56</v>
      </c>
      <c r="F239" t="str">
        <v>USD</v>
      </c>
      <c r="G239" t="str">
        <v>Inventory</v>
      </c>
      <c r="H239" t="str">
        <v>Paid</v>
      </c>
      <c r="I239" t="str">
        <v>rush</v>
      </c>
    </row>
    <row r="240" spans="1:9" x14ac:dyDescent="0.2">
      <c r="A240" t="str">
        <v>INV-20250460</v>
      </c>
      <c r="B240" t="str">
        <v>Pacific Freight Lines Inc.</v>
      </c>
      <c r="C240" vm="177">
        <v>45811</v>
      </c>
      <c r="D240" vm="164">
        <v>45841</v>
      </c>
      <c r="E240">
        <v>5781.26</v>
      </c>
      <c r="F240" t="str">
        <v>USD</v>
      </c>
      <c r="G240" t="str">
        <v>Freight</v>
      </c>
      <c r="H240" t="str">
        <v>Paid</v>
      </c>
      <c r="I240" t="str">
        <v>see email</v>
      </c>
    </row>
    <row r="241" spans="1:9" x14ac:dyDescent="0.2">
      <c r="A241" t="str">
        <v>INV-20250504</v>
      </c>
      <c r="B241" t="str">
        <v>Timberline Mills</v>
      </c>
      <c r="C241" vm="144">
        <v>45812</v>
      </c>
      <c r="D241" vm="179">
        <v>45857</v>
      </c>
      <c r="E241">
        <v>35673.550000000003</v>
      </c>
      <c r="F241" t="str">
        <v>USD</v>
      </c>
      <c r="G241" t="str">
        <v>Inventory</v>
      </c>
      <c r="H241" t="str">
        <v>Paid</v>
      </c>
      <c r="I241" t="str">
        <v/>
      </c>
    </row>
    <row r="242" spans="1:9" x14ac:dyDescent="0.2">
      <c r="A242" t="str">
        <v>INV-20250172</v>
      </c>
      <c r="B242" t="str">
        <v>Pacific Freight Lines Inc.</v>
      </c>
      <c r="C242" vm="144">
        <v>45812</v>
      </c>
      <c r="D242" vm="180">
        <v>45842</v>
      </c>
      <c r="E242">
        <v>1925.87</v>
      </c>
      <c r="F242" t="str">
        <v>USD</v>
      </c>
      <c r="G242" t="str">
        <v>Freight</v>
      </c>
      <c r="H242" t="str">
        <v>Overdue</v>
      </c>
      <c r="I242" t="str">
        <v/>
      </c>
    </row>
    <row r="243" spans="1:9" x14ac:dyDescent="0.2">
      <c r="A243" t="str">
        <v>INV-20250499</v>
      </c>
      <c r="B243" t="str">
        <v>Timberline Mills</v>
      </c>
      <c r="C243" vm="146">
        <v>45813</v>
      </c>
      <c r="D243" vm="181">
        <v>45858</v>
      </c>
      <c r="E243">
        <v>46370.12</v>
      </c>
      <c r="F243" t="str">
        <v>USD</v>
      </c>
      <c r="G243" t="str">
        <v>Inventory</v>
      </c>
      <c r="H243" t="str">
        <v>Paid</v>
      </c>
      <c r="I243" t="str">
        <v/>
      </c>
    </row>
    <row r="244" spans="1:9" x14ac:dyDescent="0.2">
      <c r="A244" t="str">
        <v>INV-20250265</v>
      </c>
      <c r="B244" t="str">
        <v>Timberline Mills</v>
      </c>
      <c r="C244" vm="146">
        <v>45813</v>
      </c>
      <c r="D244" vm="181">
        <v>45858</v>
      </c>
      <c r="E244">
        <v>41595.599999999999</v>
      </c>
      <c r="F244" t="str">
        <v>USD</v>
      </c>
      <c r="G244" t="str">
        <v>Inventory</v>
      </c>
      <c r="H244" t="str">
        <v>Paid</v>
      </c>
      <c r="I244" t="str">
        <v>rush</v>
      </c>
    </row>
    <row r="245" spans="1:9" x14ac:dyDescent="0.2">
      <c r="A245" t="str">
        <v>INV-20250198</v>
      </c>
      <c r="B245" t="str">
        <v>Ironwood Hardware Supply</v>
      </c>
      <c r="C245" vm="146">
        <v>45813</v>
      </c>
      <c r="D245" vm="181">
        <v>45858</v>
      </c>
      <c r="E245">
        <v>8679.9599999999991</v>
      </c>
      <c r="F245" t="str">
        <v>USD</v>
      </c>
      <c r="G245" t="str">
        <v>Inventory</v>
      </c>
      <c r="H245" t="str">
        <v>Paid</v>
      </c>
      <c r="I245" t="str">
        <v>see email</v>
      </c>
    </row>
    <row r="246" spans="1:9" x14ac:dyDescent="0.2">
      <c r="A246" t="str">
        <v>INV-20250123</v>
      </c>
      <c r="B246" t="str">
        <v>Riverbend Fasteners Co.</v>
      </c>
      <c r="C246" vm="146">
        <v>45813</v>
      </c>
      <c r="D246" vm="181">
        <v>45858</v>
      </c>
      <c r="E246">
        <v>46347.14</v>
      </c>
      <c r="F246" t="str">
        <v>USD</v>
      </c>
      <c r="G246" t="str">
        <v>Inventory</v>
      </c>
      <c r="H246" t="str">
        <v>Paid</v>
      </c>
      <c r="I246" t="str">
        <v>see email</v>
      </c>
    </row>
    <row r="247" spans="1:9" x14ac:dyDescent="0.2">
      <c r="A247" t="str">
        <v>INV-20250147</v>
      </c>
      <c r="B247" t="str">
        <v>Timberline Mills</v>
      </c>
      <c r="C247" vm="146">
        <v>45813</v>
      </c>
      <c r="D247" vm="181">
        <v>45858</v>
      </c>
      <c r="E247">
        <v>40201.230000000003</v>
      </c>
      <c r="F247" t="str">
        <v>USD</v>
      </c>
      <c r="G247" t="str">
        <v>Inventory</v>
      </c>
      <c r="H247" t="str">
        <v>Paid</v>
      </c>
      <c r="I247" t="str">
        <v>rush</v>
      </c>
    </row>
    <row r="248" spans="1:9" x14ac:dyDescent="0.2">
      <c r="A248" t="str">
        <v>INV-20250006</v>
      </c>
      <c r="B248" t="str">
        <v>Riverbend Fasteners Co.</v>
      </c>
      <c r="C248" vm="182">
        <v>45815</v>
      </c>
      <c r="D248" vm="183">
        <v>45860</v>
      </c>
      <c r="E248">
        <v>28651.32</v>
      </c>
      <c r="F248" t="str">
        <v>USD</v>
      </c>
      <c r="G248" t="str">
        <v>Inventory</v>
      </c>
      <c r="H248" t="str">
        <v>Paid</v>
      </c>
      <c r="I248" t="str">
        <v/>
      </c>
    </row>
    <row r="249" spans="1:9" x14ac:dyDescent="0.2">
      <c r="A249" t="str">
        <v>INV-20250346</v>
      </c>
      <c r="B249" t="str">
        <v>Riverbend Fasteners Co.</v>
      </c>
      <c r="C249" vm="182">
        <v>45815</v>
      </c>
      <c r="D249" vm="183">
        <v>45860</v>
      </c>
      <c r="E249">
        <v>12900.8</v>
      </c>
      <c r="F249" t="str">
        <v>USD</v>
      </c>
      <c r="G249" t="str">
        <v>Inventory</v>
      </c>
      <c r="H249" t="str">
        <v>Paid</v>
      </c>
      <c r="I249" t="str">
        <v/>
      </c>
    </row>
    <row r="250" spans="1:9" x14ac:dyDescent="0.2">
      <c r="A250" t="str">
        <v>INV-20250206</v>
      </c>
      <c r="B250" t="str">
        <v>Northgate Marketing Group</v>
      </c>
      <c r="C250" vm="184">
        <v>45816</v>
      </c>
      <c r="D250" vm="169">
        <v>45846</v>
      </c>
      <c r="E250">
        <v>3488.39</v>
      </c>
      <c r="F250" t="str">
        <v>USD</v>
      </c>
      <c r="G250" t="str">
        <v>Marketing</v>
      </c>
      <c r="H250" t="str">
        <v>Overdue</v>
      </c>
      <c r="I250" t="str">
        <v>approved by JM</v>
      </c>
    </row>
    <row r="251" spans="1:9" x14ac:dyDescent="0.2">
      <c r="A251" t="str">
        <v>INV-20250289</v>
      </c>
      <c r="B251" t="str">
        <v>Timberline Mills</v>
      </c>
      <c r="C251" vm="184">
        <v>45816</v>
      </c>
      <c r="D251" vm="185">
        <v>45861</v>
      </c>
      <c r="E251">
        <v>28732.46</v>
      </c>
      <c r="F251" t="str">
        <v>USD</v>
      </c>
      <c r="G251" t="str">
        <v>Inventory</v>
      </c>
      <c r="H251" t="str">
        <v>Paid</v>
      </c>
      <c r="I251" t="str">
        <v>approved by JM</v>
      </c>
    </row>
    <row r="252" spans="1:9" x14ac:dyDescent="0.2">
      <c r="A252" t="str">
        <v>INV-20250311</v>
      </c>
      <c r="B252" t="str">
        <v>Pacific Freight Lines Inc.</v>
      </c>
      <c r="C252" vm="184">
        <v>45816</v>
      </c>
      <c r="D252" vm="169">
        <v>45846</v>
      </c>
      <c r="E252">
        <v>5815.88</v>
      </c>
      <c r="F252" t="str">
        <v>USD</v>
      </c>
      <c r="G252" t="str">
        <v>Freight</v>
      </c>
      <c r="H252" t="str">
        <v>Paid</v>
      </c>
      <c r="I252" t="str">
        <v>partial shipment</v>
      </c>
    </row>
    <row r="253" spans="1:9" x14ac:dyDescent="0.2">
      <c r="A253" t="str">
        <v>INV-20250300</v>
      </c>
      <c r="B253" t="str">
        <v>Ironwood Hardware Supply</v>
      </c>
      <c r="C253" vm="148">
        <v>45817</v>
      </c>
      <c r="D253" vm="186">
        <v>45862</v>
      </c>
      <c r="E253">
        <v>36095.440000000002</v>
      </c>
      <c r="F253" t="str">
        <v>USD</v>
      </c>
      <c r="G253" t="str">
        <v>Inventory</v>
      </c>
      <c r="H253" t="str">
        <v>Paid</v>
      </c>
      <c r="I253" t="str">
        <v/>
      </c>
    </row>
    <row r="254" spans="1:9" x14ac:dyDescent="0.2">
      <c r="A254" t="str">
        <v>INV-20250426</v>
      </c>
      <c r="B254" t="str">
        <v>Timberline Mills</v>
      </c>
      <c r="C254" vm="148">
        <v>45817</v>
      </c>
      <c r="D254" vm="186">
        <v>45862</v>
      </c>
      <c r="E254">
        <v>7869.37</v>
      </c>
      <c r="F254" t="str">
        <v>USD</v>
      </c>
      <c r="G254" t="str">
        <v>Inventory</v>
      </c>
      <c r="H254" t="str">
        <v>Paid</v>
      </c>
      <c r="I254" t="str">
        <v/>
      </c>
    </row>
    <row r="255" spans="1:9" x14ac:dyDescent="0.2">
      <c r="A255" t="str">
        <v>INV-20250443</v>
      </c>
      <c r="B255" t="str">
        <v>Riverbend Fasteners Co.</v>
      </c>
      <c r="C255" vm="148">
        <v>45817</v>
      </c>
      <c r="D255" vm="186">
        <v>45862</v>
      </c>
      <c r="E255">
        <v>10036.379999999999</v>
      </c>
      <c r="F255" t="str">
        <v>USD</v>
      </c>
      <c r="G255" t="str">
        <v>Inventory</v>
      </c>
      <c r="H255" t="str">
        <v>Paid</v>
      </c>
      <c r="I255" t="str">
        <v/>
      </c>
    </row>
    <row r="256" spans="1:9" x14ac:dyDescent="0.2">
      <c r="A256" t="str">
        <v>INV-20250118</v>
      </c>
      <c r="B256" t="str">
        <v>BlueRiver Software</v>
      </c>
      <c r="C256" vm="148">
        <v>45817</v>
      </c>
      <c r="D256" vm="157">
        <v>45832</v>
      </c>
      <c r="E256">
        <v>2167.1</v>
      </c>
      <c r="F256" t="str">
        <v>USD</v>
      </c>
      <c r="G256" t="str">
        <v>Software</v>
      </c>
      <c r="H256" t="str">
        <v>Paid</v>
      </c>
      <c r="I256" t="str">
        <v>approved by JM</v>
      </c>
    </row>
    <row r="257" spans="1:9" x14ac:dyDescent="0.2">
      <c r="A257" t="str">
        <v>INV-20250131</v>
      </c>
      <c r="B257" t="str">
        <v>Pacific Freight Lines Inc.</v>
      </c>
      <c r="C257" vm="148">
        <v>45817</v>
      </c>
      <c r="D257" vm="171">
        <v>45847</v>
      </c>
      <c r="E257">
        <v>7103.44</v>
      </c>
      <c r="F257" t="str">
        <v>USD</v>
      </c>
      <c r="G257" t="str">
        <v>Freight</v>
      </c>
      <c r="H257" t="str">
        <v>Paid</v>
      </c>
      <c r="I257" t="str">
        <v/>
      </c>
    </row>
    <row r="258" spans="1:9" x14ac:dyDescent="0.2">
      <c r="A258" t="str">
        <v>INV-20250301</v>
      </c>
      <c r="B258" t="str">
        <v>Timberline Mills</v>
      </c>
      <c r="C258" vm="187">
        <v>45819</v>
      </c>
      <c r="D258" vm="188">
        <v>45864</v>
      </c>
      <c r="E258">
        <v>20172.89</v>
      </c>
      <c r="F258" t="str">
        <v>USD</v>
      </c>
      <c r="G258" t="str">
        <v>Inventory</v>
      </c>
      <c r="H258" t="str">
        <v>Paid</v>
      </c>
      <c r="I258" t="str">
        <v>approved by JM</v>
      </c>
    </row>
    <row r="259" spans="1:9" x14ac:dyDescent="0.2">
      <c r="A259" t="str">
        <v>INV-20250436</v>
      </c>
      <c r="B259" t="str">
        <v>Timberline Mills</v>
      </c>
      <c r="C259" vm="149">
        <v>45821</v>
      </c>
      <c r="D259" vm="189">
        <v>45866</v>
      </c>
      <c r="E259">
        <v>13246.12</v>
      </c>
      <c r="F259" t="str">
        <v>USD</v>
      </c>
      <c r="G259" t="str">
        <v>Inventory</v>
      </c>
      <c r="H259" t="str">
        <v>Paid</v>
      </c>
      <c r="I259" t="str">
        <v/>
      </c>
    </row>
    <row r="260" spans="1:9" x14ac:dyDescent="0.2">
      <c r="A260" t="str">
        <v>INV-20250314</v>
      </c>
      <c r="B260" t="str">
        <v>Northgate Marketing Group</v>
      </c>
      <c r="C260" vm="190">
        <v>45822</v>
      </c>
      <c r="D260" vm="191">
        <v>45852</v>
      </c>
      <c r="E260">
        <v>9887.09</v>
      </c>
      <c r="F260" t="str">
        <v>USD</v>
      </c>
      <c r="G260" t="str">
        <v>Marketing</v>
      </c>
      <c r="H260" t="str">
        <v>Paid</v>
      </c>
      <c r="I260" t="str">
        <v/>
      </c>
    </row>
    <row r="261" spans="1:9" x14ac:dyDescent="0.2">
      <c r="A261" t="str">
        <v>INV-20250333</v>
      </c>
      <c r="B261" t="str">
        <v>Ironwood Hardware Supply</v>
      </c>
      <c r="C261" vm="192">
        <v>45823</v>
      </c>
      <c r="D261" vm="193">
        <v>45868</v>
      </c>
      <c r="E261">
        <v>40214.68</v>
      </c>
      <c r="F261" t="str">
        <v>USD</v>
      </c>
      <c r="G261" t="str">
        <v>Inventory</v>
      </c>
      <c r="H261" t="str">
        <v>Paid</v>
      </c>
      <c r="I261" t="str">
        <v>rush</v>
      </c>
    </row>
    <row r="262" spans="1:9" x14ac:dyDescent="0.2">
      <c r="A262" t="str">
        <v>INV-20250501</v>
      </c>
      <c r="B262" t="str">
        <v>Riverbend Fasteners Co.</v>
      </c>
      <c r="C262" vm="192">
        <v>45823</v>
      </c>
      <c r="D262" vm="193">
        <v>45868</v>
      </c>
      <c r="E262">
        <v>42881.15</v>
      </c>
      <c r="F262" t="str">
        <v>USD</v>
      </c>
      <c r="G262" t="str">
        <v>Inventory</v>
      </c>
      <c r="H262" t="str">
        <v>Paid</v>
      </c>
      <c r="I262" t="str">
        <v/>
      </c>
    </row>
    <row r="263" spans="1:9" x14ac:dyDescent="0.2">
      <c r="A263" t="str">
        <v>INV-20250547</v>
      </c>
      <c r="B263" t="str">
        <v>Timberline Mills</v>
      </c>
      <c r="C263" vm="150">
        <v>45824</v>
      </c>
      <c r="D263" vm="194">
        <v>45869</v>
      </c>
      <c r="E263">
        <v>34278.35</v>
      </c>
      <c r="F263" t="str">
        <v>USD</v>
      </c>
      <c r="G263" t="str">
        <v>Inventory</v>
      </c>
      <c r="H263" t="str">
        <v>Paid</v>
      </c>
      <c r="I263" t="str">
        <v/>
      </c>
    </row>
    <row r="264" spans="1:9" x14ac:dyDescent="0.2">
      <c r="A264" t="str">
        <v>INV-20250376</v>
      </c>
      <c r="B264" t="str">
        <v>Keller &amp; Moss CPAs</v>
      </c>
      <c r="C264" vm="150">
        <v>45824</v>
      </c>
      <c r="D264" vm="175">
        <v>45854</v>
      </c>
      <c r="E264">
        <v>6659.78</v>
      </c>
      <c r="F264" t="str">
        <v>USD</v>
      </c>
      <c r="G264" t="str">
        <v>Professional Fees</v>
      </c>
      <c r="H264" t="str">
        <v>Overdue</v>
      </c>
      <c r="I264" t="str">
        <v>approved by JM</v>
      </c>
    </row>
    <row r="265" spans="1:9" x14ac:dyDescent="0.2">
      <c r="A265" t="str">
        <v>INV-20250363</v>
      </c>
      <c r="B265" t="str">
        <v>Timberline Mills</v>
      </c>
      <c r="C265" vm="150">
        <v>45824</v>
      </c>
      <c r="D265" vm="194">
        <v>45869</v>
      </c>
      <c r="E265">
        <v>26764.48</v>
      </c>
      <c r="F265" t="str">
        <v>USD</v>
      </c>
      <c r="G265" t="str">
        <v>Inventory</v>
      </c>
      <c r="H265" t="str">
        <v>Overdue</v>
      </c>
      <c r="I265" t="str">
        <v/>
      </c>
    </row>
    <row r="266" spans="1:9" x14ac:dyDescent="0.2">
      <c r="A266" t="str">
        <v>INV-20250484</v>
      </c>
      <c r="B266" t="str">
        <v>Keller &amp; Moss CPAs</v>
      </c>
      <c r="C266" vm="151">
        <v>45825</v>
      </c>
      <c r="D266" vm="176">
        <v>45855</v>
      </c>
      <c r="E266">
        <v>9931.7199999999993</v>
      </c>
      <c r="F266" t="str">
        <v>USD</v>
      </c>
      <c r="G266" t="str">
        <v>Professional Fees</v>
      </c>
      <c r="H266" t="str">
        <v>Paid</v>
      </c>
      <c r="I266" t="str">
        <v>partial shipment</v>
      </c>
    </row>
    <row r="267" spans="1:9" x14ac:dyDescent="0.2">
      <c r="A267" t="str">
        <v>INV-20250093</v>
      </c>
      <c r="B267" t="str">
        <v>Timberline Mills</v>
      </c>
      <c r="C267" vm="153">
        <v>45827</v>
      </c>
      <c r="D267" vm="195">
        <v>45872</v>
      </c>
      <c r="E267">
        <v>15173.37</v>
      </c>
      <c r="F267" t="str">
        <v>USD</v>
      </c>
      <c r="G267" t="str">
        <v>Inventory</v>
      </c>
      <c r="H267" t="str">
        <v>Paid</v>
      </c>
      <c r="I267" t="str">
        <v>rush</v>
      </c>
    </row>
    <row r="268" spans="1:9" x14ac:dyDescent="0.2">
      <c r="A268" t="str">
        <v>INV-20250519</v>
      </c>
      <c r="B268" t="str">
        <v>Riverbend Fasteners Co.</v>
      </c>
      <c r="C268" vm="153">
        <v>45827</v>
      </c>
      <c r="D268" vm="195">
        <v>45872</v>
      </c>
      <c r="E268">
        <v>14120.14</v>
      </c>
      <c r="F268" t="str">
        <v>USD</v>
      </c>
      <c r="G268" t="str">
        <v>Inventory</v>
      </c>
      <c r="H268" t="str">
        <v>Paid</v>
      </c>
      <c r="I268" t="str">
        <v>rush</v>
      </c>
    </row>
    <row r="269" spans="1:9" x14ac:dyDescent="0.2">
      <c r="A269" t="str">
        <v>INV-20250282</v>
      </c>
      <c r="B269" t="str">
        <v>Timberline Mills</v>
      </c>
      <c r="C269" vm="153">
        <v>45827</v>
      </c>
      <c r="D269" vm="195">
        <v>45872</v>
      </c>
      <c r="E269">
        <v>12461.59</v>
      </c>
      <c r="F269" t="str">
        <v>USD</v>
      </c>
      <c r="G269" t="str">
        <v>Inventory</v>
      </c>
      <c r="H269" t="str">
        <v>Paid</v>
      </c>
      <c r="I269" t="str">
        <v/>
      </c>
    </row>
    <row r="270" spans="1:9" x14ac:dyDescent="0.2">
      <c r="A270" t="str">
        <v>INV-20250209</v>
      </c>
      <c r="B270" t="str">
        <v>Timberline Mills</v>
      </c>
      <c r="C270" vm="154">
        <v>45829</v>
      </c>
      <c r="D270" vm="196">
        <v>45874</v>
      </c>
      <c r="E270">
        <v>43216.05</v>
      </c>
      <c r="F270" t="str">
        <v>USD</v>
      </c>
      <c r="G270" t="str">
        <v>Inventory</v>
      </c>
      <c r="H270" t="str">
        <v>Overdue</v>
      </c>
      <c r="I270" t="str">
        <v>partial shipment</v>
      </c>
    </row>
    <row r="271" spans="1:9" x14ac:dyDescent="0.2">
      <c r="A271" t="str">
        <v>INV-20250336</v>
      </c>
      <c r="B271" t="str">
        <v>Ironwood Hardware Supply</v>
      </c>
      <c r="C271" vm="154">
        <v>45829</v>
      </c>
      <c r="D271" vm="196">
        <v>45874</v>
      </c>
      <c r="E271">
        <v>39382.35</v>
      </c>
      <c r="F271" t="str">
        <v>USD</v>
      </c>
      <c r="G271" t="str">
        <v>Inventory</v>
      </c>
      <c r="H271" t="str">
        <v>Paid</v>
      </c>
      <c r="I271" t="str">
        <v>approved by JM</v>
      </c>
    </row>
    <row r="272" spans="1:9" x14ac:dyDescent="0.2">
      <c r="A272" t="str">
        <v>INV-20250067</v>
      </c>
      <c r="B272" t="str">
        <v>Timberline Mills</v>
      </c>
      <c r="C272" vm="156">
        <v>45831</v>
      </c>
      <c r="D272" vm="197">
        <v>45876</v>
      </c>
      <c r="E272">
        <v>47749.46</v>
      </c>
      <c r="F272" t="str">
        <v>USD</v>
      </c>
      <c r="G272" t="str">
        <v>Inventory</v>
      </c>
      <c r="H272" t="str">
        <v>Paid</v>
      </c>
      <c r="I272" t="str">
        <v>partial shipment</v>
      </c>
    </row>
    <row r="273" spans="1:9" x14ac:dyDescent="0.2">
      <c r="A273" t="str">
        <v>INV-20250060</v>
      </c>
      <c r="B273" t="str">
        <v>Timberline Mills</v>
      </c>
      <c r="C273" vm="156">
        <v>45831</v>
      </c>
      <c r="D273" vm="197">
        <v>45876</v>
      </c>
      <c r="E273">
        <v>28378.21</v>
      </c>
      <c r="F273" t="str">
        <v>USD</v>
      </c>
      <c r="G273" t="str">
        <v>Inventory</v>
      </c>
      <c r="H273" t="str">
        <v>Paid</v>
      </c>
      <c r="I273" t="str">
        <v>partial shipment</v>
      </c>
    </row>
    <row r="274" spans="1:9" x14ac:dyDescent="0.2">
      <c r="A274" t="str">
        <v>INV-20250511</v>
      </c>
      <c r="B274" t="str">
        <v>Riverbend Fasteners Co.</v>
      </c>
      <c r="C274" vm="157">
        <v>45832</v>
      </c>
      <c r="D274" vm="198">
        <v>45877</v>
      </c>
      <c r="E274">
        <v>-434.16</v>
      </c>
      <c r="F274" t="str">
        <v>EUR</v>
      </c>
      <c r="G274" t="str">
        <v>Inventory</v>
      </c>
      <c r="H274" t="str">
        <v>Paid</v>
      </c>
      <c r="I274" t="str">
        <v>approved by JM</v>
      </c>
    </row>
    <row r="275" spans="1:9" x14ac:dyDescent="0.2">
      <c r="A275" t="str">
        <v>INV-20250013</v>
      </c>
      <c r="B275" t="str">
        <v>Ironwood Hardware Supply</v>
      </c>
      <c r="C275" vm="157">
        <v>45832</v>
      </c>
      <c r="D275" vm="198">
        <v>45877</v>
      </c>
      <c r="E275">
        <v>34593</v>
      </c>
      <c r="F275" t="str">
        <v>USD</v>
      </c>
      <c r="G275" t="str">
        <v>Inventory</v>
      </c>
      <c r="H275" t="str">
        <v>Paid</v>
      </c>
      <c r="I275" t="str">
        <v>rush</v>
      </c>
    </row>
    <row r="276" spans="1:9" x14ac:dyDescent="0.2">
      <c r="A276" t="str">
        <v>INV-20250025</v>
      </c>
      <c r="B276" t="str">
        <v>Timberline Mills</v>
      </c>
      <c r="C276" vm="157">
        <v>45832</v>
      </c>
      <c r="D276" vm="198">
        <v>45877</v>
      </c>
      <c r="E276">
        <v>30432</v>
      </c>
      <c r="F276" t="str">
        <v>USD</v>
      </c>
      <c r="G276" t="str">
        <v>Inventory</v>
      </c>
      <c r="H276" t="str">
        <v>Paid</v>
      </c>
      <c r="I276" t="str">
        <v>partial shipment</v>
      </c>
    </row>
    <row r="277" spans="1:9" x14ac:dyDescent="0.2">
      <c r="A277" t="str">
        <v>INV-20250035</v>
      </c>
      <c r="B277" t="str">
        <v>Riverbend Fasteners Co.</v>
      </c>
      <c r="C277" vm="158">
        <v>45834</v>
      </c>
      <c r="D277" vm="199">
        <v>45879</v>
      </c>
      <c r="E277">
        <v>23678.02</v>
      </c>
      <c r="F277" t="str">
        <v>USD</v>
      </c>
      <c r="G277" t="str">
        <v>Inventory</v>
      </c>
      <c r="H277" t="str">
        <v>Overdue</v>
      </c>
      <c r="I277" t="str">
        <v>partial shipment</v>
      </c>
    </row>
    <row r="278" spans="1:9" x14ac:dyDescent="0.2">
      <c r="A278" t="str">
        <v>INV-20250016</v>
      </c>
      <c r="B278" t="str">
        <v>Riverbend Fasteners Co.</v>
      </c>
      <c r="C278" vm="159">
        <v>45835</v>
      </c>
      <c r="D278" vm="200">
        <v>45880</v>
      </c>
      <c r="E278">
        <v>4992.7700000000004</v>
      </c>
      <c r="F278" t="str">
        <v>USD</v>
      </c>
      <c r="G278" t="str">
        <v>Inventory</v>
      </c>
      <c r="H278" t="str">
        <v>Paid</v>
      </c>
      <c r="I278" t="str">
        <v/>
      </c>
    </row>
    <row r="279" spans="1:9" x14ac:dyDescent="0.2">
      <c r="A279" t="str">
        <v>INV-20250027</v>
      </c>
      <c r="B279" t="str">
        <v>Ironwood Hardware Supply</v>
      </c>
      <c r="C279" vm="159">
        <v>45835</v>
      </c>
      <c r="D279" vm="200">
        <v>45880</v>
      </c>
      <c r="E279">
        <v>30500.28</v>
      </c>
      <c r="F279" t="str">
        <v>USD</v>
      </c>
      <c r="G279" t="str">
        <v>Inventory</v>
      </c>
      <c r="H279" t="str">
        <v>Paid</v>
      </c>
      <c r="I279" t="str">
        <v>approved by JM</v>
      </c>
    </row>
    <row r="280" spans="1:9" x14ac:dyDescent="0.2">
      <c r="A280" t="str">
        <v>INV-20250230</v>
      </c>
      <c r="B280" t="str">
        <v>Riverbend Fasteners Co.</v>
      </c>
      <c r="C280" vm="159">
        <v>45835</v>
      </c>
      <c r="D280" vm="200">
        <v>45880</v>
      </c>
      <c r="E280">
        <v>46117.09</v>
      </c>
      <c r="F280" t="str">
        <v>USD</v>
      </c>
      <c r="G280" t="str">
        <v>Inventory</v>
      </c>
      <c r="H280" t="str">
        <v>Paid</v>
      </c>
      <c r="I280" t="str">
        <v>approved by JM</v>
      </c>
    </row>
    <row r="281" spans="1:9" x14ac:dyDescent="0.2">
      <c r="A281" t="str">
        <v>INV-20250502</v>
      </c>
      <c r="B281" t="str">
        <v>Pacific Freight Lines Inc.</v>
      </c>
      <c r="C281" vm="160">
        <v>45836</v>
      </c>
      <c r="D281" vm="189">
        <v>45866</v>
      </c>
      <c r="E281">
        <v>2121.56</v>
      </c>
      <c r="F281" t="str">
        <v>USD</v>
      </c>
      <c r="G281" t="str">
        <v>Freight</v>
      </c>
      <c r="H281" t="str">
        <v>Paid</v>
      </c>
      <c r="I281" t="str">
        <v/>
      </c>
    </row>
    <row r="282" spans="1:9" x14ac:dyDescent="0.2">
      <c r="A282" t="str">
        <v>INV-20250434</v>
      </c>
      <c r="B282" t="str">
        <v>Riverbend Fasteners Co.</v>
      </c>
      <c r="C282" vm="160">
        <v>45836</v>
      </c>
      <c r="D282" vm="201">
        <v>45881</v>
      </c>
      <c r="E282">
        <v>45169.69</v>
      </c>
      <c r="F282" t="str">
        <v>USD</v>
      </c>
      <c r="G282" t="str">
        <v>Inventory</v>
      </c>
      <c r="H282" t="str">
        <v>Paid</v>
      </c>
      <c r="I282" t="str">
        <v/>
      </c>
    </row>
    <row r="283" spans="1:9" x14ac:dyDescent="0.2">
      <c r="A283" t="str">
        <v>INV-20250500</v>
      </c>
      <c r="B283" t="str">
        <v>Pacific Freight Lines Inc.</v>
      </c>
      <c r="C283" vm="161">
        <v>45837</v>
      </c>
      <c r="D283" vm="202">
        <v>45867</v>
      </c>
      <c r="E283">
        <v>7970.18</v>
      </c>
      <c r="F283" t="str">
        <v>USD</v>
      </c>
      <c r="G283" t="str">
        <v>Freight</v>
      </c>
      <c r="H283" t="str">
        <v>Paid</v>
      </c>
      <c r="I283" t="str">
        <v/>
      </c>
    </row>
    <row r="284" spans="1:9" x14ac:dyDescent="0.2">
      <c r="A284" t="str">
        <v>INV-20250506</v>
      </c>
      <c r="B284" t="str">
        <v>Riverbend Fasteners Co.</v>
      </c>
      <c r="C284" vm="203">
        <v>45838</v>
      </c>
      <c r="D284" vm="204">
        <v>45883</v>
      </c>
      <c r="E284">
        <v>47448.34</v>
      </c>
      <c r="F284" t="str">
        <v>USD</v>
      </c>
      <c r="G284" t="str">
        <v>Inventory</v>
      </c>
      <c r="H284" t="str">
        <v>Paid</v>
      </c>
      <c r="I284" t="str">
        <v>partial shipment</v>
      </c>
    </row>
    <row r="285" spans="1:9" x14ac:dyDescent="0.2">
      <c r="A285" t="str">
        <v>INV-20250544</v>
      </c>
      <c r="B285" t="str">
        <v>Northgate Marketing Group</v>
      </c>
      <c r="C285" vm="162">
        <v>45839</v>
      </c>
      <c r="D285" vm="194">
        <v>45869</v>
      </c>
      <c r="E285">
        <v>15513.39</v>
      </c>
      <c r="F285" t="str">
        <v>USD</v>
      </c>
      <c r="G285" t="str">
        <v>Marketing</v>
      </c>
      <c r="H285" t="str">
        <v>Paid</v>
      </c>
      <c r="I285" t="str">
        <v/>
      </c>
    </row>
    <row r="286" spans="1:9" x14ac:dyDescent="0.2">
      <c r="A286" t="str">
        <v>INV-20250313</v>
      </c>
      <c r="B286" t="str">
        <v>Keller &amp; Moss CPAs</v>
      </c>
      <c r="C286" vm="162">
        <v>45839</v>
      </c>
      <c r="D286" vm="194">
        <v>45869</v>
      </c>
      <c r="E286">
        <v>9607.75</v>
      </c>
      <c r="F286" t="str">
        <v>USD</v>
      </c>
      <c r="G286" t="str">
        <v>Professional Fees</v>
      </c>
      <c r="H286" t="str">
        <v>Paid</v>
      </c>
      <c r="I286" t="str">
        <v/>
      </c>
    </row>
    <row r="287" spans="1:9" x14ac:dyDescent="0.2">
      <c r="A287" t="str">
        <v>INV-20250485</v>
      </c>
      <c r="B287" t="str">
        <v>Ironwood Hardware Supply</v>
      </c>
      <c r="C287" vm="162">
        <v>45839</v>
      </c>
      <c r="D287" vm="205">
        <v>45884</v>
      </c>
      <c r="E287">
        <v>12498.51</v>
      </c>
      <c r="F287" t="str">
        <v>USD</v>
      </c>
      <c r="G287" t="str">
        <v>Inventory</v>
      </c>
      <c r="H287" t="str">
        <v>Paid</v>
      </c>
      <c r="I287" t="str">
        <v>partial shipment</v>
      </c>
    </row>
    <row r="288" spans="1:9" x14ac:dyDescent="0.2">
      <c r="A288" t="str">
        <v>INV-20250483</v>
      </c>
      <c r="B288" t="str">
        <v>Northgate Marketing Group</v>
      </c>
      <c r="C288" vm="163">
        <v>45840</v>
      </c>
      <c r="D288" vm="206">
        <v>45870</v>
      </c>
      <c r="E288">
        <v>13687.57</v>
      </c>
      <c r="F288" t="str">
        <v>USD</v>
      </c>
      <c r="G288" t="str">
        <v>Marketing</v>
      </c>
      <c r="H288" t="str">
        <v>Paid</v>
      </c>
      <c r="I288" t="str">
        <v/>
      </c>
    </row>
    <row r="289" spans="1:9" x14ac:dyDescent="0.2">
      <c r="A289" t="str">
        <v>INV-20250351</v>
      </c>
      <c r="B289" t="str">
        <v>Timberline Mills</v>
      </c>
      <c r="C289" vm="163">
        <v>45840</v>
      </c>
      <c r="D289" vm="207">
        <v>45885</v>
      </c>
      <c r="E289">
        <v>35441.96</v>
      </c>
      <c r="F289" t="str">
        <v>USD</v>
      </c>
      <c r="G289" t="str">
        <v>Inventory</v>
      </c>
      <c r="H289" t="str">
        <v>Paid</v>
      </c>
      <c r="I289" t="str">
        <v/>
      </c>
    </row>
    <row r="290" spans="1:9" x14ac:dyDescent="0.2">
      <c r="A290" t="str">
        <v>INV-20250255</v>
      </c>
      <c r="B290" t="str">
        <v>Riverbend Fasteners Co.</v>
      </c>
      <c r="C290" vm="163">
        <v>45840</v>
      </c>
      <c r="D290" vm="207">
        <v>45885</v>
      </c>
      <c r="E290">
        <v>32053.03</v>
      </c>
      <c r="F290" t="str">
        <v>USD</v>
      </c>
      <c r="G290" t="str">
        <v>Inventory</v>
      </c>
      <c r="H290" t="str">
        <v>Paid</v>
      </c>
      <c r="I290" t="str">
        <v/>
      </c>
    </row>
    <row r="291" spans="1:9" x14ac:dyDescent="0.2">
      <c r="A291" t="str">
        <v>INV-20250448</v>
      </c>
      <c r="B291" t="str">
        <v>Timberline Mills</v>
      </c>
      <c r="C291" vm="180">
        <v>45842</v>
      </c>
      <c r="D291" vm="208">
        <v>45887</v>
      </c>
      <c r="E291">
        <v>25410.78</v>
      </c>
      <c r="F291" t="str">
        <v>USD</v>
      </c>
      <c r="G291" t="str">
        <v>Inventory</v>
      </c>
      <c r="H291" t="str">
        <v>Paid</v>
      </c>
      <c r="I291" t="str">
        <v>approved by JM</v>
      </c>
    </row>
    <row r="292" spans="1:9" x14ac:dyDescent="0.2">
      <c r="A292" t="str">
        <v>INV-20250087</v>
      </c>
      <c r="B292" t="str">
        <v>Riverbend Fasteners Co.</v>
      </c>
      <c r="C292" vm="180">
        <v>45842</v>
      </c>
      <c r="D292" vm="208">
        <v>45887</v>
      </c>
      <c r="E292">
        <v>46218.71</v>
      </c>
      <c r="F292" t="str">
        <v>USD</v>
      </c>
      <c r="G292" t="str">
        <v>Inventory</v>
      </c>
      <c r="H292" t="str">
        <v>Paid</v>
      </c>
      <c r="I292" t="str">
        <v>partial shipment</v>
      </c>
    </row>
    <row r="293" spans="1:9" x14ac:dyDescent="0.2">
      <c r="A293" t="str">
        <v>INV-20250450</v>
      </c>
      <c r="B293" t="str">
        <v>Riverbend Fasteners Co.</v>
      </c>
      <c r="C293" vm="166">
        <v>45843</v>
      </c>
      <c r="D293" vm="209">
        <v>45888</v>
      </c>
      <c r="E293">
        <v>16738.25</v>
      </c>
      <c r="F293" t="str">
        <v>USD</v>
      </c>
      <c r="G293" t="str">
        <v>Inventory</v>
      </c>
      <c r="H293" t="str">
        <v>Paid</v>
      </c>
      <c r="I293" t="str">
        <v>partial shipment</v>
      </c>
    </row>
    <row r="294" spans="1:9" x14ac:dyDescent="0.2">
      <c r="A294" t="str">
        <v>INV-20250521</v>
      </c>
      <c r="B294" t="str">
        <v>Ironwood Hardware Supply</v>
      </c>
      <c r="C294" vm="166">
        <v>45843</v>
      </c>
      <c r="D294" vm="209">
        <v>45888</v>
      </c>
      <c r="E294">
        <v>27026.18</v>
      </c>
      <c r="F294" t="str">
        <v>EUR</v>
      </c>
      <c r="G294" t="str">
        <v>Inventory</v>
      </c>
      <c r="H294" t="str">
        <v>Paid</v>
      </c>
      <c r="I294" t="str">
        <v>approved by JM</v>
      </c>
    </row>
    <row r="295" spans="1:9" x14ac:dyDescent="0.2">
      <c r="A295" t="str">
        <v>INV-20250030</v>
      </c>
      <c r="B295" t="str">
        <v>Northgate Marketing Group</v>
      </c>
      <c r="C295" vm="166">
        <v>45843</v>
      </c>
      <c r="D295" vm="210">
        <v>45873</v>
      </c>
      <c r="E295">
        <v>4772.34</v>
      </c>
      <c r="F295" t="str">
        <v>USD</v>
      </c>
      <c r="G295" t="str">
        <v>Marketing</v>
      </c>
      <c r="H295" t="str">
        <v>Paid</v>
      </c>
      <c r="I295" t="str">
        <v/>
      </c>
    </row>
    <row r="296" spans="1:9" x14ac:dyDescent="0.2">
      <c r="A296" t="str">
        <v>INV-20250007</v>
      </c>
      <c r="B296" t="str">
        <v>Pacific Freight Lines Inc.</v>
      </c>
      <c r="C296" vm="211">
        <v>45848</v>
      </c>
      <c r="D296" vm="212">
        <v>45878</v>
      </c>
      <c r="E296">
        <v>1689.19</v>
      </c>
      <c r="F296" t="str">
        <v>USD</v>
      </c>
      <c r="G296" t="str">
        <v>Freight</v>
      </c>
      <c r="H296" t="str">
        <v>Paid</v>
      </c>
      <c r="I296" t="str">
        <v/>
      </c>
    </row>
    <row r="297" spans="1:9" x14ac:dyDescent="0.2">
      <c r="A297" t="str">
        <v>INV-20250142</v>
      </c>
      <c r="B297" t="str">
        <v>Timberline Mills</v>
      </c>
      <c r="C297" vm="174">
        <v>45850</v>
      </c>
      <c r="D297" vm="213">
        <v>45895</v>
      </c>
      <c r="E297">
        <v>5533.59</v>
      </c>
      <c r="F297" t="str">
        <v>USD</v>
      </c>
      <c r="G297" t="str">
        <v>Inventory</v>
      </c>
      <c r="H297" t="str">
        <v>Paid</v>
      </c>
      <c r="I297" t="str">
        <v/>
      </c>
    </row>
    <row r="298" spans="1:9" x14ac:dyDescent="0.2">
      <c r="A298" t="str">
        <v>INV-20250137</v>
      </c>
      <c r="B298" t="str">
        <v>Riverbend Fasteners Co.</v>
      </c>
      <c r="C298" vm="214">
        <v>45851</v>
      </c>
      <c r="D298" vm="215">
        <v>45896</v>
      </c>
      <c r="E298">
        <v>40921.589999999997</v>
      </c>
      <c r="F298" t="str">
        <v>USD</v>
      </c>
      <c r="G298" t="str">
        <v>Inventory</v>
      </c>
      <c r="H298" t="str">
        <v>Paid</v>
      </c>
      <c r="I298" t="str">
        <v/>
      </c>
    </row>
    <row r="299" spans="1:9" x14ac:dyDescent="0.2">
      <c r="A299" t="str">
        <v>INV-20250321</v>
      </c>
      <c r="B299" t="str">
        <v>Pacific Freight Lines Inc.</v>
      </c>
      <c r="C299" vm="214">
        <v>45851</v>
      </c>
      <c r="D299" vm="201">
        <v>45881</v>
      </c>
      <c r="E299">
        <v>1577.62</v>
      </c>
      <c r="F299" t="str">
        <v>USD</v>
      </c>
      <c r="G299" t="str">
        <v>Freight</v>
      </c>
      <c r="H299" t="str">
        <v>Paid</v>
      </c>
      <c r="I299" t="str">
        <v/>
      </c>
    </row>
    <row r="300" spans="1:9" x14ac:dyDescent="0.2">
      <c r="A300" t="str">
        <v>INV-20250465</v>
      </c>
      <c r="B300" t="str">
        <v>Pacific Freight Lines Inc.</v>
      </c>
      <c r="C300" vm="214">
        <v>45851</v>
      </c>
      <c r="D300" vm="201">
        <v>45881</v>
      </c>
      <c r="E300">
        <v>3295.5</v>
      </c>
      <c r="F300" t="str">
        <v>USD</v>
      </c>
      <c r="G300" t="str">
        <v>Freight</v>
      </c>
      <c r="H300" t="str">
        <v>Paid</v>
      </c>
      <c r="I300" t="str">
        <v>partial shipment</v>
      </c>
    </row>
    <row r="301" spans="1:9" x14ac:dyDescent="0.2">
      <c r="A301" t="str">
        <v>INV-20250387</v>
      </c>
      <c r="B301" t="str">
        <v>Riverbend Fasteners Co.</v>
      </c>
      <c r="C301" vm="214">
        <v>45851</v>
      </c>
      <c r="D301" vm="215">
        <v>45896</v>
      </c>
      <c r="E301">
        <v>29589.62</v>
      </c>
      <c r="F301" t="str">
        <v>USD</v>
      </c>
      <c r="G301" t="str">
        <v>Inventory</v>
      </c>
      <c r="H301" t="str">
        <v>Paid</v>
      </c>
      <c r="I301" t="str">
        <v>see email</v>
      </c>
    </row>
    <row r="302" spans="1:9" x14ac:dyDescent="0.2">
      <c r="A302" t="str">
        <v>INV-20250386</v>
      </c>
      <c r="B302" t="str">
        <v>Northgate Marketing Group</v>
      </c>
      <c r="C302" vm="191">
        <v>45852</v>
      </c>
      <c r="D302" vm="216">
        <v>45882</v>
      </c>
      <c r="E302">
        <v>9382.48</v>
      </c>
      <c r="F302" t="str">
        <v>USD</v>
      </c>
      <c r="G302" t="str">
        <v>Marketing</v>
      </c>
      <c r="H302" t="str">
        <v>Paid</v>
      </c>
      <c r="I302" t="str">
        <v/>
      </c>
    </row>
    <row r="303" spans="1:9" x14ac:dyDescent="0.2">
      <c r="A303" t="str">
        <v>INV-20250555</v>
      </c>
      <c r="B303" t="str">
        <v>Keller &amp; Moss CPAs</v>
      </c>
      <c r="C303" vm="191">
        <v>45852</v>
      </c>
      <c r="D303" vm="216">
        <v>45882</v>
      </c>
      <c r="E303">
        <v>3961.56</v>
      </c>
      <c r="F303" t="str">
        <v>USD</v>
      </c>
      <c r="G303" t="str">
        <v>Professional Fees</v>
      </c>
      <c r="H303" t="str">
        <v>Paid</v>
      </c>
      <c r="I303" t="str">
        <v>rush</v>
      </c>
    </row>
    <row r="304" spans="1:9" x14ac:dyDescent="0.2">
      <c r="A304" t="str">
        <v>INV-20250139</v>
      </c>
      <c r="B304" t="str">
        <v>Pacific Freight Lines Inc.</v>
      </c>
      <c r="C304" vm="191">
        <v>45852</v>
      </c>
      <c r="D304" vm="216">
        <v>45882</v>
      </c>
      <c r="E304">
        <v>3788.7</v>
      </c>
      <c r="F304" t="str">
        <v>USD</v>
      </c>
      <c r="G304" t="str">
        <v>Freight</v>
      </c>
      <c r="H304" t="str">
        <v>Paid</v>
      </c>
      <c r="I304" t="str">
        <v>approved by JM</v>
      </c>
    </row>
    <row r="305" spans="1:9" x14ac:dyDescent="0.2">
      <c r="A305" t="str">
        <v>INV-20250352</v>
      </c>
      <c r="B305" t="str">
        <v>Riverbend Fasteners Co.</v>
      </c>
      <c r="C305" vm="217">
        <v>45853</v>
      </c>
      <c r="D305" vm="218">
        <v>45898</v>
      </c>
      <c r="E305">
        <v>29357.72</v>
      </c>
      <c r="F305" t="str">
        <v>USD</v>
      </c>
      <c r="G305" t="str">
        <v>Inventory</v>
      </c>
      <c r="H305" t="str">
        <v>Paid</v>
      </c>
      <c r="I305" t="str">
        <v/>
      </c>
    </row>
    <row r="306" spans="1:9" x14ac:dyDescent="0.2">
      <c r="A306" t="str">
        <v>INV-20250079</v>
      </c>
      <c r="B306" t="str">
        <v>Ironwood Hardware Supply</v>
      </c>
      <c r="C306" vm="217">
        <v>45853</v>
      </c>
      <c r="D306" vm="218">
        <v>45898</v>
      </c>
      <c r="E306">
        <v>7691.18</v>
      </c>
      <c r="F306" t="str">
        <v>USD</v>
      </c>
      <c r="G306" t="str">
        <v>Inventory</v>
      </c>
      <c r="H306" t="str">
        <v>Paid</v>
      </c>
      <c r="I306" t="str">
        <v>rush</v>
      </c>
    </row>
    <row r="307" spans="1:9" x14ac:dyDescent="0.2">
      <c r="A307" t="str">
        <v>INV-20250076</v>
      </c>
      <c r="B307" t="str">
        <v>Riverbend Fasteners Co.</v>
      </c>
      <c r="C307" vm="217">
        <v>45853</v>
      </c>
      <c r="D307" vm="218">
        <v>45898</v>
      </c>
      <c r="E307">
        <v>42303.66</v>
      </c>
      <c r="F307" t="str">
        <v>USD</v>
      </c>
      <c r="G307" t="str">
        <v>Inventory</v>
      </c>
      <c r="H307" t="str">
        <v>Paid</v>
      </c>
      <c r="I307" t="str">
        <v>see email</v>
      </c>
    </row>
    <row r="308" spans="1:9" x14ac:dyDescent="0.2">
      <c r="A308" t="str">
        <v>INV-20250414</v>
      </c>
      <c r="B308" t="str">
        <v>Keller &amp; Moss CPAs</v>
      </c>
      <c r="C308" vm="176">
        <v>45855</v>
      </c>
      <c r="D308" vm="207">
        <v>45885</v>
      </c>
      <c r="E308">
        <v>5026.74</v>
      </c>
      <c r="F308" t="str">
        <v>USD</v>
      </c>
      <c r="G308" t="str">
        <v>Professional Fees</v>
      </c>
      <c r="H308" t="str">
        <v>Overdue</v>
      </c>
      <c r="I308" t="str">
        <v/>
      </c>
    </row>
    <row r="309" spans="1:9" x14ac:dyDescent="0.2">
      <c r="A309" t="str">
        <v>INV-20250378</v>
      </c>
      <c r="B309" t="str">
        <v>Northgate Marketing Group</v>
      </c>
      <c r="C309" vm="178">
        <v>45856</v>
      </c>
      <c r="D309" vm="219">
        <v>45886</v>
      </c>
      <c r="E309">
        <v>15432.12</v>
      </c>
      <c r="F309" t="str">
        <v>USD</v>
      </c>
      <c r="G309" t="str">
        <v>Marketing</v>
      </c>
      <c r="H309" t="str">
        <v>Paid</v>
      </c>
      <c r="I309" t="str">
        <v>rush</v>
      </c>
    </row>
    <row r="310" spans="1:9" x14ac:dyDescent="0.2">
      <c r="A310" t="str">
        <v>INV-20250243</v>
      </c>
      <c r="B310" t="str">
        <v>Pacific Freight Lines Inc.</v>
      </c>
      <c r="C310" vm="178">
        <v>45856</v>
      </c>
      <c r="D310" vm="219">
        <v>45886</v>
      </c>
      <c r="E310">
        <v>-1047.04</v>
      </c>
      <c r="F310" t="str">
        <v>USD</v>
      </c>
      <c r="G310" t="str">
        <v>Freight</v>
      </c>
      <c r="H310" t="str">
        <v>Paid</v>
      </c>
      <c r="I310" t="str">
        <v/>
      </c>
    </row>
    <row r="311" spans="1:9" x14ac:dyDescent="0.2">
      <c r="A311" t="str">
        <v>INV-20250306</v>
      </c>
      <c r="B311" t="str">
        <v>Ironwood Hardware Supply</v>
      </c>
      <c r="C311" vm="178">
        <v>45856</v>
      </c>
      <c r="D311" vm="220">
        <v>45901</v>
      </c>
      <c r="E311">
        <v>34132.17</v>
      </c>
      <c r="F311" t="str">
        <v>USD</v>
      </c>
      <c r="G311" t="str">
        <v>Inventory</v>
      </c>
      <c r="H311" t="str">
        <v>Paid</v>
      </c>
      <c r="I311" t="str">
        <v>see email</v>
      </c>
    </row>
    <row r="312" spans="1:9" x14ac:dyDescent="0.2">
      <c r="A312" t="str">
        <v>INV-20250493</v>
      </c>
      <c r="B312" t="str">
        <v>Harbor Light Utilities</v>
      </c>
      <c r="C312" vm="178">
        <v>45856</v>
      </c>
      <c r="D312" vm="221">
        <v>45871</v>
      </c>
      <c r="E312">
        <v>4049.79</v>
      </c>
      <c r="F312" t="str">
        <v>USD</v>
      </c>
      <c r="G312" t="str">
        <v>Utilities</v>
      </c>
      <c r="H312" t="str">
        <v>Paid</v>
      </c>
      <c r="I312" t="str">
        <v/>
      </c>
    </row>
    <row r="313" spans="1:9" x14ac:dyDescent="0.2">
      <c r="A313" t="str">
        <v>INV-20250391</v>
      </c>
      <c r="B313" t="str">
        <v>BlueRiver Software</v>
      </c>
      <c r="C313" vm="179">
        <v>45857</v>
      </c>
      <c r="D313" vm="195">
        <v>45872</v>
      </c>
      <c r="E313">
        <v>1321.35</v>
      </c>
      <c r="F313" t="str">
        <v>USD</v>
      </c>
      <c r="G313" t="str">
        <v>Software</v>
      </c>
      <c r="H313" t="str">
        <v>Paid</v>
      </c>
      <c r="I313" t="str">
        <v>rush</v>
      </c>
    </row>
    <row r="314" spans="1:9" x14ac:dyDescent="0.2">
      <c r="A314" t="str">
        <v>INV-20250216</v>
      </c>
      <c r="B314" t="str">
        <v>Pacific Freight Lines Inc.</v>
      </c>
      <c r="C314" vm="181">
        <v>45858</v>
      </c>
      <c r="D314" vm="209">
        <v>45888</v>
      </c>
      <c r="E314">
        <v>5943.24</v>
      </c>
      <c r="F314" t="str">
        <v>USD</v>
      </c>
      <c r="G314" t="str">
        <v>Freight</v>
      </c>
      <c r="H314" t="str">
        <v>Paid</v>
      </c>
      <c r="I314" t="str">
        <v/>
      </c>
    </row>
    <row r="315" spans="1:9" x14ac:dyDescent="0.2">
      <c r="A315" t="str">
        <v>INV-20250437</v>
      </c>
      <c r="B315" t="str">
        <v>Riverbend Fasteners Co.</v>
      </c>
      <c r="C315" vm="222">
        <v>45859</v>
      </c>
      <c r="D315" vm="223">
        <v>45904</v>
      </c>
      <c r="E315">
        <v>47916.82</v>
      </c>
      <c r="F315" t="str">
        <v>USD</v>
      </c>
      <c r="G315" t="str">
        <v>Inventory</v>
      </c>
      <c r="H315" t="str">
        <v>Paid</v>
      </c>
      <c r="I315" t="str">
        <v>rush</v>
      </c>
    </row>
    <row r="316" spans="1:9" x14ac:dyDescent="0.2">
      <c r="A316" t="str">
        <v>INV-20250375</v>
      </c>
      <c r="B316" t="str">
        <v>Riverbend Fasteners Co.</v>
      </c>
      <c r="C316" vm="183">
        <v>45860</v>
      </c>
      <c r="D316" vm="224">
        <v>45905</v>
      </c>
      <c r="E316">
        <v>4522.6400000000003</v>
      </c>
      <c r="F316" t="str">
        <v>USD</v>
      </c>
      <c r="G316" t="str">
        <v>Inventory</v>
      </c>
      <c r="H316" t="str">
        <v>Paid</v>
      </c>
      <c r="I316" t="str">
        <v/>
      </c>
    </row>
    <row r="317" spans="1:9" x14ac:dyDescent="0.2">
      <c r="A317" t="str">
        <v>INV-20250539</v>
      </c>
      <c r="B317" t="str">
        <v>Riverbend Fasteners Co.</v>
      </c>
      <c r="C317" vm="185">
        <v>45861</v>
      </c>
      <c r="D317" vm="225">
        <v>45906</v>
      </c>
      <c r="E317">
        <v>42805.86</v>
      </c>
      <c r="F317" t="str">
        <v>USD</v>
      </c>
      <c r="G317" t="str">
        <v>Inventory</v>
      </c>
      <c r="H317" t="str">
        <v>Paid</v>
      </c>
      <c r="I317" t="str">
        <v>partial shipment</v>
      </c>
    </row>
    <row r="318" spans="1:9" x14ac:dyDescent="0.2">
      <c r="A318" t="str">
        <v>INV-20250201</v>
      </c>
      <c r="B318" t="str">
        <v>Ironwood Hardware Supply</v>
      </c>
      <c r="C318" vm="226">
        <v>45863</v>
      </c>
      <c r="D318" vm="227">
        <v>45908</v>
      </c>
      <c r="E318">
        <v>39709.1</v>
      </c>
      <c r="F318" t="str">
        <v>USD</v>
      </c>
      <c r="G318" t="str">
        <v>Inventory</v>
      </c>
      <c r="H318" t="str">
        <v>Paid</v>
      </c>
      <c r="I318" t="str">
        <v/>
      </c>
    </row>
    <row r="319" spans="1:9" x14ac:dyDescent="0.2">
      <c r="A319" t="str">
        <v>INV-20250523</v>
      </c>
      <c r="B319" t="str">
        <v>Pacific Freight Lines Inc.</v>
      </c>
      <c r="C319" vm="226">
        <v>45863</v>
      </c>
      <c r="D319" vm="228">
        <v>45893</v>
      </c>
      <c r="E319">
        <v>7028.36</v>
      </c>
      <c r="F319" t="str">
        <v>USD</v>
      </c>
      <c r="G319" t="str">
        <v>Freight</v>
      </c>
      <c r="H319" t="str">
        <v>Paid</v>
      </c>
      <c r="I319" t="str">
        <v/>
      </c>
    </row>
    <row r="320" spans="1:9" x14ac:dyDescent="0.2">
      <c r="A320" t="str">
        <v>INV-20250059</v>
      </c>
      <c r="B320" t="str">
        <v>Northgate Marketing Group</v>
      </c>
      <c r="C320" vm="188">
        <v>45864</v>
      </c>
      <c r="D320" vm="229">
        <v>45894</v>
      </c>
      <c r="E320">
        <v>7756.3</v>
      </c>
      <c r="F320" t="str">
        <v>USD</v>
      </c>
      <c r="G320" t="str">
        <v>Marketing</v>
      </c>
      <c r="H320" t="str">
        <v>Paid</v>
      </c>
      <c r="I320" t="str">
        <v/>
      </c>
    </row>
    <row r="321" spans="1:9" x14ac:dyDescent="0.2">
      <c r="A321" t="str">
        <v>INV-20250459</v>
      </c>
      <c r="B321" t="str">
        <v>Riverbend Fasteners Co.</v>
      </c>
      <c r="C321" vm="188">
        <v>45864</v>
      </c>
      <c r="D321" vm="230">
        <v>45909</v>
      </c>
      <c r="E321">
        <v>43828.61</v>
      </c>
      <c r="F321" t="str">
        <v>USD</v>
      </c>
      <c r="G321" t="str">
        <v>Inventory</v>
      </c>
      <c r="H321" t="str">
        <v>Paid</v>
      </c>
      <c r="I321" t="str">
        <v/>
      </c>
    </row>
    <row r="322" spans="1:9" x14ac:dyDescent="0.2">
      <c r="A322" t="str">
        <v>INV-20250427</v>
      </c>
      <c r="B322" t="str">
        <v>Ironwood Hardware Supply</v>
      </c>
      <c r="C322" vm="188">
        <v>45864</v>
      </c>
      <c r="D322" vm="230">
        <v>45909</v>
      </c>
      <c r="E322">
        <v>41151.980000000003</v>
      </c>
      <c r="F322" t="str">
        <v>USD</v>
      </c>
      <c r="G322" t="str">
        <v>Inventory</v>
      </c>
      <c r="H322" t="str">
        <v>Paid</v>
      </c>
      <c r="I322" t="str">
        <v/>
      </c>
    </row>
    <row r="323" spans="1:9" x14ac:dyDescent="0.2">
      <c r="A323" t="str">
        <v>INV-20250127</v>
      </c>
      <c r="B323" t="str">
        <v>Timberline Mills</v>
      </c>
      <c r="C323" vm="193">
        <v>45868</v>
      </c>
      <c r="D323" vm="231">
        <v>45913</v>
      </c>
      <c r="E323">
        <v>35004.76</v>
      </c>
      <c r="F323" t="str">
        <v>USD</v>
      </c>
      <c r="G323" t="str">
        <v>Inventory</v>
      </c>
      <c r="H323" t="str">
        <v>Paid</v>
      </c>
      <c r="I323" t="str">
        <v>see email</v>
      </c>
    </row>
    <row r="324" spans="1:9" x14ac:dyDescent="0.2">
      <c r="A324" t="str">
        <v>INV-20250548</v>
      </c>
      <c r="B324" t="str">
        <v>Riverbend Fasteners Co.</v>
      </c>
      <c r="C324" vm="193">
        <v>45868</v>
      </c>
      <c r="D324" vm="231">
        <v>45913</v>
      </c>
      <c r="E324">
        <v>47223.9</v>
      </c>
      <c r="F324" t="str">
        <v>USD</v>
      </c>
      <c r="G324" t="str">
        <v>Inventory</v>
      </c>
      <c r="H324" t="str">
        <v>Paid</v>
      </c>
      <c r="I324" t="str">
        <v/>
      </c>
    </row>
    <row r="325" spans="1:9" x14ac:dyDescent="0.2">
      <c r="A325" t="str">
        <v>INV-20250398</v>
      </c>
      <c r="B325" t="str">
        <v>Pacific Freight Lines Inc.</v>
      </c>
      <c r="C325" vm="194">
        <v>45869</v>
      </c>
      <c r="D325" vm="232">
        <v>45899</v>
      </c>
      <c r="E325">
        <v>2377.52</v>
      </c>
      <c r="F325" t="str">
        <v>USD</v>
      </c>
      <c r="G325" t="str">
        <v>Freight</v>
      </c>
      <c r="H325" t="str">
        <v>Paid</v>
      </c>
      <c r="I325" t="str">
        <v/>
      </c>
    </row>
    <row r="326" spans="1:9" x14ac:dyDescent="0.2">
      <c r="A326" t="str">
        <v>INV-20250115</v>
      </c>
      <c r="B326" t="str">
        <v>Timberline Mills</v>
      </c>
      <c r="C326" vm="194">
        <v>45869</v>
      </c>
      <c r="D326" vm="233">
        <v>45914</v>
      </c>
      <c r="E326">
        <v>20844.87</v>
      </c>
      <c r="F326" t="str">
        <v>USD</v>
      </c>
      <c r="G326" t="str">
        <v>Inventory</v>
      </c>
      <c r="H326" t="str">
        <v>Paid</v>
      </c>
      <c r="I326" t="str">
        <v>partial shipment</v>
      </c>
    </row>
    <row r="327" spans="1:9" x14ac:dyDescent="0.2">
      <c r="A327" t="str">
        <v>INV-20250340</v>
      </c>
      <c r="B327" t="str">
        <v>Ironwood Hardware Supply</v>
      </c>
      <c r="C327" vm="206">
        <v>45870</v>
      </c>
      <c r="D327" vm="234">
        <v>45915</v>
      </c>
      <c r="E327">
        <v>43432.78</v>
      </c>
      <c r="F327" t="str">
        <v>USD</v>
      </c>
      <c r="G327" t="str">
        <v>Inventory</v>
      </c>
      <c r="H327" t="str">
        <v>Paid</v>
      </c>
      <c r="I327" t="str">
        <v/>
      </c>
    </row>
    <row r="328" spans="1:9" x14ac:dyDescent="0.2">
      <c r="A328" t="str">
        <v>INV-20250248</v>
      </c>
      <c r="B328" t="str">
        <v>Timberline Mills</v>
      </c>
      <c r="C328" vm="195">
        <v>45872</v>
      </c>
      <c r="D328" vm="235">
        <v>45917</v>
      </c>
      <c r="E328">
        <v>14665.43</v>
      </c>
      <c r="F328" t="str">
        <v>USD</v>
      </c>
      <c r="G328" t="str">
        <v>Inventory</v>
      </c>
      <c r="H328" t="str">
        <v>Paid</v>
      </c>
      <c r="I328" t="str">
        <v/>
      </c>
    </row>
    <row r="329" spans="1:9" x14ac:dyDescent="0.2">
      <c r="A329" t="str">
        <v>INV-20250275</v>
      </c>
      <c r="B329" t="str">
        <v>BlueRiver Software</v>
      </c>
      <c r="C329" vm="195">
        <v>45872</v>
      </c>
      <c r="D329" vm="208">
        <v>45887</v>
      </c>
      <c r="E329">
        <v>2499.89</v>
      </c>
      <c r="F329" t="str">
        <v>USD</v>
      </c>
      <c r="G329" t="str">
        <v>Software</v>
      </c>
      <c r="H329" t="str">
        <v>Paid</v>
      </c>
      <c r="I329" t="str">
        <v>see email</v>
      </c>
    </row>
    <row r="330" spans="1:9" x14ac:dyDescent="0.2">
      <c r="A330" t="str">
        <v>INV-20250256</v>
      </c>
      <c r="B330" t="str">
        <v>Timberline Mills</v>
      </c>
      <c r="C330" vm="195">
        <v>45872</v>
      </c>
      <c r="D330" vm="235">
        <v>45917</v>
      </c>
      <c r="E330">
        <v>44279.17</v>
      </c>
      <c r="F330" t="str">
        <v>USD</v>
      </c>
      <c r="G330" t="str">
        <v>Inventory</v>
      </c>
      <c r="H330" t="str">
        <v>Paid</v>
      </c>
      <c r="I330" t="str">
        <v/>
      </c>
    </row>
    <row r="331" spans="1:9" x14ac:dyDescent="0.2">
      <c r="A331" t="str">
        <v>INV-20250151</v>
      </c>
      <c r="B331" t="str">
        <v>Timberline Mills</v>
      </c>
      <c r="C331" vm="210">
        <v>45873</v>
      </c>
      <c r="D331" vm="236">
        <v>45918</v>
      </c>
      <c r="E331">
        <v>25932.91</v>
      </c>
      <c r="F331" t="str">
        <v>USD</v>
      </c>
      <c r="G331" t="str">
        <v>Inventory</v>
      </c>
      <c r="H331" t="str">
        <v>Paid</v>
      </c>
      <c r="I331" t="str">
        <v>partial shipment</v>
      </c>
    </row>
    <row r="332" spans="1:9" x14ac:dyDescent="0.2">
      <c r="A332" t="str">
        <v>INV-20250178</v>
      </c>
      <c r="B332" t="str">
        <v>Riverbend Fasteners Co.</v>
      </c>
      <c r="C332" vm="210">
        <v>45873</v>
      </c>
      <c r="D332" vm="236">
        <v>45918</v>
      </c>
      <c r="E332">
        <v>17561.310000000001</v>
      </c>
      <c r="F332" t="str">
        <v>USD</v>
      </c>
      <c r="G332" t="str">
        <v>Inventory</v>
      </c>
      <c r="H332" t="str">
        <v>Paid</v>
      </c>
      <c r="I332" t="str">
        <v>partial shipment</v>
      </c>
    </row>
    <row r="333" spans="1:9" x14ac:dyDescent="0.2">
      <c r="A333" t="str">
        <v>INV-20250288</v>
      </c>
      <c r="B333" t="str">
        <v>Timberline Mills</v>
      </c>
      <c r="C333" vm="210">
        <v>45873</v>
      </c>
      <c r="D333" vm="236">
        <v>45918</v>
      </c>
      <c r="E333">
        <v>38079.54</v>
      </c>
      <c r="F333" t="str">
        <v>USD</v>
      </c>
      <c r="G333" t="str">
        <v>Inventory</v>
      </c>
      <c r="H333" t="str">
        <v>Paid</v>
      </c>
      <c r="I333" t="str">
        <v>rush</v>
      </c>
    </row>
    <row r="334" spans="1:9" x14ac:dyDescent="0.2">
      <c r="A334" t="str">
        <v>INV-20250397</v>
      </c>
      <c r="B334" t="str">
        <v>Northgate Marketing Group</v>
      </c>
      <c r="C334" vm="210">
        <v>45873</v>
      </c>
      <c r="D334" vm="237">
        <v>45903</v>
      </c>
      <c r="E334">
        <v>12282.07</v>
      </c>
      <c r="F334" t="str">
        <v>USD</v>
      </c>
      <c r="G334" t="str">
        <v>Marketing</v>
      </c>
      <c r="H334" t="str">
        <v>Paid</v>
      </c>
      <c r="I334" t="str">
        <v>partial shipment</v>
      </c>
    </row>
    <row r="335" spans="1:9" x14ac:dyDescent="0.2">
      <c r="A335" t="str">
        <v>INV-20250168</v>
      </c>
      <c r="B335" t="str">
        <v>Pacific Freight Lines Inc.</v>
      </c>
      <c r="C335" vm="196">
        <v>45874</v>
      </c>
      <c r="D335" vm="223">
        <v>45904</v>
      </c>
      <c r="E335">
        <v>1819.67</v>
      </c>
      <c r="F335" t="str">
        <v>USD</v>
      </c>
      <c r="G335" t="str">
        <v>Freight</v>
      </c>
      <c r="H335" t="str">
        <v>Paid</v>
      </c>
      <c r="I335" t="str">
        <v/>
      </c>
    </row>
    <row r="336" spans="1:9" x14ac:dyDescent="0.2">
      <c r="A336" t="str">
        <v>INV-20250065</v>
      </c>
      <c r="B336" t="str">
        <v>Pacific Freight Lines Inc.</v>
      </c>
      <c r="C336" vm="238">
        <v>45875</v>
      </c>
      <c r="D336" vm="224">
        <v>45905</v>
      </c>
      <c r="E336">
        <v>8151.81</v>
      </c>
      <c r="F336" t="str">
        <v>USD</v>
      </c>
      <c r="G336" t="str">
        <v>Freight</v>
      </c>
      <c r="H336" t="str">
        <v>Paid</v>
      </c>
      <c r="I336" t="str">
        <v>approved by JM</v>
      </c>
    </row>
    <row r="337" spans="1:9" x14ac:dyDescent="0.2">
      <c r="A337" t="str">
        <v>INV-20250438</v>
      </c>
      <c r="B337" t="str">
        <v>Ironwood Hardware Supply</v>
      </c>
      <c r="C337" vm="238">
        <v>45875</v>
      </c>
      <c r="D337" vm="239">
        <v>45920</v>
      </c>
      <c r="E337">
        <v>23472.51</v>
      </c>
      <c r="F337" t="str">
        <v>USD</v>
      </c>
      <c r="G337" t="str">
        <v>Inventory</v>
      </c>
      <c r="H337" t="str">
        <v>Paid</v>
      </c>
      <c r="I337" t="str">
        <v/>
      </c>
    </row>
    <row r="338" spans="1:9" x14ac:dyDescent="0.2">
      <c r="A338" t="str">
        <v>INV-20250463</v>
      </c>
      <c r="B338" t="str">
        <v>Northgate Marketing Group</v>
      </c>
      <c r="C338" vm="238">
        <v>45875</v>
      </c>
      <c r="D338" vm="224">
        <v>45905</v>
      </c>
      <c r="E338">
        <v>4719.01</v>
      </c>
      <c r="F338" t="str">
        <v>USD</v>
      </c>
      <c r="G338" t="str">
        <v>Marketing</v>
      </c>
      <c r="H338" t="str">
        <v>Paid</v>
      </c>
      <c r="I338" t="str">
        <v/>
      </c>
    </row>
    <row r="339" spans="1:9" x14ac:dyDescent="0.2">
      <c r="A339" t="str">
        <v>INV-20250150</v>
      </c>
      <c r="B339" t="str">
        <v>Pacific Freight Lines Inc.</v>
      </c>
      <c r="C339" vm="197">
        <v>45876</v>
      </c>
      <c r="D339" vm="225">
        <v>45906</v>
      </c>
      <c r="E339">
        <v>8056.14</v>
      </c>
      <c r="F339" t="str">
        <v>USD</v>
      </c>
      <c r="G339" t="str">
        <v>Freight</v>
      </c>
      <c r="H339" t="str">
        <v>Paid</v>
      </c>
      <c r="I339" t="str">
        <v>approved by JM</v>
      </c>
    </row>
    <row r="340" spans="1:9" x14ac:dyDescent="0.2">
      <c r="A340" t="str">
        <v>INV-20250181</v>
      </c>
      <c r="B340" t="str">
        <v>Ironwood Hardware Supply</v>
      </c>
      <c r="C340" vm="212">
        <v>45878</v>
      </c>
      <c r="D340" vm="240">
        <v>45923</v>
      </c>
      <c r="E340">
        <v>20074.62</v>
      </c>
      <c r="F340" t="str">
        <v>USD</v>
      </c>
      <c r="G340" t="str">
        <v>Inventory</v>
      </c>
      <c r="H340" t="str">
        <v>Paid</v>
      </c>
      <c r="I340" t="str">
        <v>see email</v>
      </c>
    </row>
    <row r="341" spans="1:9" x14ac:dyDescent="0.2">
      <c r="A341" t="str">
        <v>INV-20250245</v>
      </c>
      <c r="B341" t="str">
        <v>Pacific Freight Lines Inc.</v>
      </c>
      <c r="C341" vm="212">
        <v>45878</v>
      </c>
      <c r="D341" vm="227">
        <v>45908</v>
      </c>
      <c r="E341">
        <v>6579.41</v>
      </c>
      <c r="F341" t="str">
        <v>USD</v>
      </c>
      <c r="G341" t="str">
        <v>Freight</v>
      </c>
      <c r="H341" t="str">
        <v>Paid</v>
      </c>
      <c r="I341" t="str">
        <v/>
      </c>
    </row>
    <row r="342" spans="1:9" x14ac:dyDescent="0.2">
      <c r="A342" t="str">
        <v>INV-20250339</v>
      </c>
      <c r="B342" t="str">
        <v>Ironwood Hardware Supply</v>
      </c>
      <c r="C342" vm="199">
        <v>45879</v>
      </c>
      <c r="D342" vm="241">
        <v>45924</v>
      </c>
      <c r="E342">
        <v>47604.92</v>
      </c>
      <c r="F342" t="str">
        <v>USD</v>
      </c>
      <c r="G342" t="str">
        <v>Inventory</v>
      </c>
      <c r="H342" t="str">
        <v>Paid</v>
      </c>
      <c r="I342" t="str">
        <v>approved by JM</v>
      </c>
    </row>
    <row r="343" spans="1:9" x14ac:dyDescent="0.2">
      <c r="A343" t="str">
        <v>INV-20250039</v>
      </c>
      <c r="B343" t="str">
        <v>Pacific Freight Lines Inc.</v>
      </c>
      <c r="C343" vm="200">
        <v>45880</v>
      </c>
      <c r="D343" vm="242">
        <v>45910</v>
      </c>
      <c r="E343">
        <v>7292</v>
      </c>
      <c r="F343" t="str">
        <v>USD</v>
      </c>
      <c r="G343" t="str">
        <v>Freight</v>
      </c>
      <c r="H343" t="str">
        <v>Paid</v>
      </c>
      <c r="I343" t="str">
        <v>approved by JM</v>
      </c>
    </row>
    <row r="344" spans="1:9" x14ac:dyDescent="0.2">
      <c r="A344" t="str">
        <v>INV-20250106</v>
      </c>
      <c r="B344" t="str">
        <v>Ironwood Hardware Supply</v>
      </c>
      <c r="C344" vm="201">
        <v>45881</v>
      </c>
      <c r="D344" vm="243">
        <v>45926</v>
      </c>
      <c r="E344">
        <v>26482.37</v>
      </c>
      <c r="F344" t="str">
        <v>USD</v>
      </c>
      <c r="G344" t="str">
        <v>Inventory</v>
      </c>
      <c r="H344" t="str">
        <v>Paid</v>
      </c>
      <c r="I344" t="str">
        <v/>
      </c>
    </row>
    <row r="345" spans="1:9" x14ac:dyDescent="0.2">
      <c r="A345" t="str">
        <v>INV-20250226</v>
      </c>
      <c r="B345" t="str">
        <v>Timberline Mills</v>
      </c>
      <c r="C345" vm="201">
        <v>45881</v>
      </c>
      <c r="D345" vm="243">
        <v>45926</v>
      </c>
      <c r="E345">
        <v>26819.38</v>
      </c>
      <c r="F345" t="str">
        <v>USD</v>
      </c>
      <c r="G345" t="str">
        <v>Inventory</v>
      </c>
      <c r="H345" t="str">
        <v>Paid</v>
      </c>
      <c r="I345" t="str">
        <v/>
      </c>
    </row>
    <row r="346" spans="1:9" x14ac:dyDescent="0.2">
      <c r="A346" t="str">
        <v>INV-20250179</v>
      </c>
      <c r="B346" t="str">
        <v>Northgate Marketing Group</v>
      </c>
      <c r="C346" vm="216">
        <v>45882</v>
      </c>
      <c r="D346" vm="244">
        <v>45912</v>
      </c>
      <c r="E346">
        <v>-1185.44</v>
      </c>
      <c r="F346" t="str">
        <v>USD</v>
      </c>
      <c r="G346" t="str">
        <v>Marketing</v>
      </c>
      <c r="H346" t="str">
        <v>Paid</v>
      </c>
      <c r="I346" t="str">
        <v/>
      </c>
    </row>
    <row r="347" spans="1:9" x14ac:dyDescent="0.2">
      <c r="A347" t="str">
        <v>INV-20250394</v>
      </c>
      <c r="B347" t="str">
        <v>Ironwood Hardware Supply</v>
      </c>
      <c r="C347" vm="204">
        <v>45883</v>
      </c>
      <c r="D347" vm="245">
        <v>45928</v>
      </c>
      <c r="E347">
        <v>37762.43</v>
      </c>
      <c r="F347" t="str">
        <v>USD</v>
      </c>
      <c r="G347" t="str">
        <v>Inventory</v>
      </c>
      <c r="H347" t="str">
        <v>Paid</v>
      </c>
      <c r="I347" t="str">
        <v>see email</v>
      </c>
    </row>
    <row r="348" spans="1:9" x14ac:dyDescent="0.2">
      <c r="A348" t="str">
        <v>INV-20250461</v>
      </c>
      <c r="B348" t="str">
        <v>Timberline Mills</v>
      </c>
      <c r="C348" vm="205">
        <v>45884</v>
      </c>
      <c r="D348" vm="246">
        <v>45929</v>
      </c>
      <c r="E348">
        <v>32017.26</v>
      </c>
      <c r="F348" t="str">
        <v>USD</v>
      </c>
      <c r="G348" t="str">
        <v>Inventory</v>
      </c>
      <c r="H348" t="str">
        <v>Overdue</v>
      </c>
      <c r="I348" t="str">
        <v/>
      </c>
    </row>
    <row r="349" spans="1:9" x14ac:dyDescent="0.2">
      <c r="A349" t="str">
        <v>INV-20250055</v>
      </c>
      <c r="B349" t="str">
        <v>Ironwood Hardware Supply</v>
      </c>
      <c r="C349" vm="205">
        <v>45884</v>
      </c>
      <c r="D349" vm="246">
        <v>45929</v>
      </c>
      <c r="E349">
        <v>17903.11</v>
      </c>
      <c r="F349" t="str">
        <v>USD</v>
      </c>
      <c r="G349" t="str">
        <v>Inventory</v>
      </c>
      <c r="H349" t="str">
        <v>Paid</v>
      </c>
      <c r="I349" t="str">
        <v/>
      </c>
    </row>
    <row r="350" spans="1:9" x14ac:dyDescent="0.2">
      <c r="A350" t="str">
        <v>INV-20250353</v>
      </c>
      <c r="B350" t="str">
        <v>Northgate Marketing Group</v>
      </c>
      <c r="C350" vm="219">
        <v>45886</v>
      </c>
      <c r="D350" vm="247">
        <v>45916</v>
      </c>
      <c r="E350">
        <v>10456.370000000001</v>
      </c>
      <c r="F350" t="str">
        <v>EUR</v>
      </c>
      <c r="G350" t="str">
        <v>Marketing</v>
      </c>
      <c r="H350" t="str">
        <v>Paid</v>
      </c>
      <c r="I350" t="str">
        <v>rush</v>
      </c>
    </row>
    <row r="351" spans="1:9" x14ac:dyDescent="0.2">
      <c r="A351" t="str">
        <v>INV-20250292</v>
      </c>
      <c r="B351" t="str">
        <v>Ironwood Hardware Supply</v>
      </c>
      <c r="C351" vm="219">
        <v>45886</v>
      </c>
      <c r="D351" vm="248">
        <v>45931</v>
      </c>
      <c r="E351">
        <v>6957.63</v>
      </c>
      <c r="F351" t="str">
        <v>USD</v>
      </c>
      <c r="G351" t="str">
        <v>Inventory</v>
      </c>
      <c r="H351" t="str">
        <v>Paid</v>
      </c>
      <c r="I351" t="str">
        <v/>
      </c>
    </row>
    <row r="352" spans="1:9" x14ac:dyDescent="0.2">
      <c r="A352" t="str">
        <v>INV-20250503</v>
      </c>
      <c r="B352" t="str">
        <v>Ironwood Hardware Supply</v>
      </c>
      <c r="C352" vm="219">
        <v>45886</v>
      </c>
      <c r="D352" vm="248">
        <v>45931</v>
      </c>
      <c r="E352">
        <v>21427.26</v>
      </c>
      <c r="F352" t="str">
        <v>USD</v>
      </c>
      <c r="G352" t="str">
        <v>Inventory</v>
      </c>
      <c r="H352" t="str">
        <v>Paid</v>
      </c>
      <c r="I352" t="str">
        <v>rush</v>
      </c>
    </row>
    <row r="353" spans="1:9" x14ac:dyDescent="0.2">
      <c r="A353" t="str">
        <v>INV-20250072</v>
      </c>
      <c r="B353" t="str">
        <v>Pacific Freight Lines Inc.</v>
      </c>
      <c r="C353" vm="219">
        <v>45886</v>
      </c>
      <c r="D353" vm="247">
        <v>45916</v>
      </c>
      <c r="E353">
        <v>1760.88</v>
      </c>
      <c r="F353" t="str">
        <v>USD</v>
      </c>
      <c r="G353" t="str">
        <v>Freight</v>
      </c>
      <c r="H353" t="str">
        <v>Paid</v>
      </c>
      <c r="I353" t="str">
        <v>rush</v>
      </c>
    </row>
    <row r="354" spans="1:9" x14ac:dyDescent="0.2">
      <c r="A354" t="str">
        <v>INV-20250113</v>
      </c>
      <c r="B354" t="str">
        <v>Ironwood Hardware Supply</v>
      </c>
      <c r="C354" vm="209">
        <v>45888</v>
      </c>
      <c r="D354" vm="249">
        <v>45933</v>
      </c>
      <c r="E354">
        <v>22806.61</v>
      </c>
      <c r="F354" t="str">
        <v>USD</v>
      </c>
      <c r="G354" t="str">
        <v>Inventory</v>
      </c>
      <c r="H354" t="str">
        <v>Paid</v>
      </c>
      <c r="I354" t="str">
        <v>partial shipment</v>
      </c>
    </row>
    <row r="355" spans="1:9" x14ac:dyDescent="0.2">
      <c r="A355" t="str">
        <v>INV-20250296</v>
      </c>
      <c r="B355" t="str">
        <v>Pacific Freight Lines Inc.</v>
      </c>
      <c r="C355" vm="209">
        <v>45888</v>
      </c>
      <c r="D355" vm="236">
        <v>45918</v>
      </c>
      <c r="E355">
        <v>6841.82</v>
      </c>
      <c r="F355" t="str">
        <v>USD</v>
      </c>
      <c r="G355" t="str">
        <v>Freight</v>
      </c>
      <c r="H355" t="str">
        <v>Paid</v>
      </c>
      <c r="I355" t="str">
        <v>partial shipment</v>
      </c>
    </row>
    <row r="356" spans="1:9" x14ac:dyDescent="0.2">
      <c r="A356" t="str">
        <v>INV-20250191</v>
      </c>
      <c r="B356" t="str">
        <v>Ironwood Hardware Supply</v>
      </c>
      <c r="C356" vm="250">
        <v>45889</v>
      </c>
      <c r="D356" vm="251">
        <v>45934</v>
      </c>
      <c r="E356">
        <v>28427.93</v>
      </c>
      <c r="F356" t="str">
        <v>USD</v>
      </c>
      <c r="G356" t="str">
        <v>Inventory</v>
      </c>
      <c r="H356" t="str">
        <v>Paid</v>
      </c>
      <c r="I356" t="str">
        <v>approved by JM</v>
      </c>
    </row>
    <row r="357" spans="1:9" x14ac:dyDescent="0.2">
      <c r="A357" t="str">
        <v>INV-20250208</v>
      </c>
      <c r="B357" t="str">
        <v>Riverbend Fasteners Co.</v>
      </c>
      <c r="C357" vm="250">
        <v>45889</v>
      </c>
      <c r="D357" vm="251">
        <v>45934</v>
      </c>
      <c r="E357">
        <v>11717.24</v>
      </c>
      <c r="F357" t="str">
        <v>USD</v>
      </c>
      <c r="G357" t="str">
        <v>Inventory</v>
      </c>
      <c r="H357" t="str">
        <v>Paid</v>
      </c>
      <c r="I357" t="str">
        <v/>
      </c>
    </row>
    <row r="358" spans="1:9" x14ac:dyDescent="0.2">
      <c r="A358" t="str">
        <v>INV-20250268</v>
      </c>
      <c r="B358" t="str">
        <v>Pacific Freight Lines Inc.</v>
      </c>
      <c r="C358" vm="250">
        <v>45889</v>
      </c>
      <c r="D358" vm="252">
        <v>45919</v>
      </c>
      <c r="E358">
        <v>3706.2</v>
      </c>
      <c r="F358" t="str">
        <v>USD</v>
      </c>
      <c r="G358" t="str">
        <v>Freight</v>
      </c>
      <c r="H358" t="str">
        <v>Paid</v>
      </c>
      <c r="I358" t="str">
        <v>rush</v>
      </c>
    </row>
    <row r="359" spans="1:9" x14ac:dyDescent="0.2">
      <c r="A359" t="str">
        <v>INV-20250384</v>
      </c>
      <c r="B359" t="str">
        <v>Ironwood Hardware Supply</v>
      </c>
      <c r="C359" vm="250">
        <v>45889</v>
      </c>
      <c r="D359" vm="251">
        <v>45934</v>
      </c>
      <c r="E359">
        <v>34476.31</v>
      </c>
      <c r="F359" t="str">
        <v>USD</v>
      </c>
      <c r="G359" t="str">
        <v>Inventory</v>
      </c>
      <c r="H359" t="str">
        <v>Paid</v>
      </c>
      <c r="I359" t="str">
        <v/>
      </c>
    </row>
    <row r="360" spans="1:9" x14ac:dyDescent="0.2">
      <c r="A360" t="str">
        <v>INV-20250303</v>
      </c>
      <c r="B360" t="str">
        <v>Ironwood Hardware Supply</v>
      </c>
      <c r="C360" vm="250">
        <v>45889</v>
      </c>
      <c r="D360" vm="251">
        <v>45934</v>
      </c>
      <c r="E360">
        <v>45576.57</v>
      </c>
      <c r="F360" t="str">
        <v>USD</v>
      </c>
      <c r="G360" t="str">
        <v>Inventory</v>
      </c>
      <c r="H360" t="str">
        <v>Paid</v>
      </c>
      <c r="I360" t="str">
        <v>rush</v>
      </c>
    </row>
    <row r="361" spans="1:9" x14ac:dyDescent="0.2">
      <c r="A361" t="str">
        <v>INV-20250180</v>
      </c>
      <c r="B361" t="str">
        <v>Riverbend Fasteners Co.</v>
      </c>
      <c r="C361" vm="253">
        <v>45892</v>
      </c>
      <c r="D361" vm="254">
        <v>45937</v>
      </c>
      <c r="E361">
        <v>40807.99</v>
      </c>
      <c r="F361" t="str">
        <v>USD</v>
      </c>
      <c r="G361" t="str">
        <v>Inventory</v>
      </c>
      <c r="H361" t="str">
        <v>Paid</v>
      </c>
      <c r="I361" t="str">
        <v>rush</v>
      </c>
    </row>
    <row r="362" spans="1:9" x14ac:dyDescent="0.2">
      <c r="A362" t="str">
        <v>INV-20250152</v>
      </c>
      <c r="B362" t="str">
        <v>BlueRiver Software</v>
      </c>
      <c r="C362" vm="228">
        <v>45893</v>
      </c>
      <c r="D362" vm="227">
        <v>45908</v>
      </c>
      <c r="E362">
        <v>1664.68</v>
      </c>
      <c r="F362" t="str">
        <v>USD</v>
      </c>
      <c r="G362" t="str">
        <v>Software</v>
      </c>
      <c r="H362" t="str">
        <v>Paid</v>
      </c>
      <c r="I362" t="str">
        <v/>
      </c>
    </row>
    <row r="363" spans="1:9" x14ac:dyDescent="0.2">
      <c r="A363" t="str">
        <v>INV-20250148</v>
      </c>
      <c r="B363" t="str">
        <v>Ironwood Hardware Supply</v>
      </c>
      <c r="C363" vm="228">
        <v>45893</v>
      </c>
      <c r="D363" vm="255">
        <v>45938</v>
      </c>
      <c r="E363">
        <v>19921.77</v>
      </c>
      <c r="F363" t="str">
        <v>USD</v>
      </c>
      <c r="G363" t="str">
        <v>Inventory</v>
      </c>
      <c r="H363" t="str">
        <v>Paid</v>
      </c>
      <c r="I363" t="str">
        <v>partial shipment</v>
      </c>
    </row>
    <row r="364" spans="1:9" x14ac:dyDescent="0.2">
      <c r="A364" t="str">
        <v>INV-20250238</v>
      </c>
      <c r="B364" t="str">
        <v>Ironwood Hardware Supply</v>
      </c>
      <c r="C364" vm="229">
        <v>45894</v>
      </c>
      <c r="D364" vm="256">
        <v>45939</v>
      </c>
      <c r="E364">
        <v>32278.84</v>
      </c>
      <c r="F364" t="str">
        <v>USD</v>
      </c>
      <c r="G364" t="str">
        <v>Inventory</v>
      </c>
      <c r="H364" t="str">
        <v>Paid</v>
      </c>
      <c r="I364" t="str">
        <v/>
      </c>
    </row>
    <row r="365" spans="1:9" x14ac:dyDescent="0.2">
      <c r="A365" t="str">
        <v>INV-20250447</v>
      </c>
      <c r="B365" t="str">
        <v>Riverbend Fasteners Co.</v>
      </c>
      <c r="C365" vm="229">
        <v>45894</v>
      </c>
      <c r="D365" vm="256">
        <v>45939</v>
      </c>
      <c r="E365">
        <v>40937.379999999997</v>
      </c>
      <c r="F365" t="str">
        <v>USD</v>
      </c>
      <c r="G365" t="str">
        <v>Inventory</v>
      </c>
      <c r="H365" t="str">
        <v>Paid</v>
      </c>
      <c r="I365" t="str">
        <v/>
      </c>
    </row>
    <row r="366" spans="1:9" x14ac:dyDescent="0.2">
      <c r="A366" t="str">
        <v>INV-20250258</v>
      </c>
      <c r="B366" t="str">
        <v>Ironwood Hardware Supply</v>
      </c>
      <c r="C366" vm="229">
        <v>45894</v>
      </c>
      <c r="D366" vm="256">
        <v>45939</v>
      </c>
      <c r="E366">
        <v>13328.56</v>
      </c>
      <c r="F366" t="str">
        <v>USD</v>
      </c>
      <c r="G366" t="str">
        <v>Inventory</v>
      </c>
      <c r="H366" t="str">
        <v>Paid</v>
      </c>
      <c r="I366" t="str">
        <v>partial shipment</v>
      </c>
    </row>
    <row r="367" spans="1:9" x14ac:dyDescent="0.2">
      <c r="A367" t="str">
        <v>INV-20250317</v>
      </c>
      <c r="B367" t="str">
        <v>Riverbend Fasteners Co.</v>
      </c>
      <c r="C367" vm="213">
        <v>45895</v>
      </c>
      <c r="D367" vm="257">
        <v>45940</v>
      </c>
      <c r="E367">
        <v>38643.29</v>
      </c>
      <c r="F367" t="str">
        <v>USD</v>
      </c>
      <c r="G367" t="str">
        <v>Inventory</v>
      </c>
      <c r="H367" t="str">
        <v>Paid</v>
      </c>
      <c r="I367" t="str">
        <v/>
      </c>
    </row>
    <row r="368" spans="1:9" x14ac:dyDescent="0.2">
      <c r="A368" t="str">
        <v>INV-20250515</v>
      </c>
      <c r="B368" t="str">
        <v>Ironwood Hardware Supply</v>
      </c>
      <c r="C368" vm="213">
        <v>45895</v>
      </c>
      <c r="D368" vm="257">
        <v>45940</v>
      </c>
      <c r="E368">
        <v>-482.74</v>
      </c>
      <c r="F368" t="str">
        <v>USD</v>
      </c>
      <c r="G368" t="str">
        <v>Inventory</v>
      </c>
      <c r="H368" t="str">
        <v>Paid</v>
      </c>
      <c r="I368" t="str">
        <v/>
      </c>
    </row>
    <row r="369" spans="1:9" x14ac:dyDescent="0.2">
      <c r="A369" t="str">
        <v>INV-20250040</v>
      </c>
      <c r="B369" t="str">
        <v>Ironwood Hardware Supply</v>
      </c>
      <c r="C369" vm="213">
        <v>45895</v>
      </c>
      <c r="D369" vm="257">
        <v>45940</v>
      </c>
      <c r="E369">
        <v>21661.02</v>
      </c>
      <c r="F369" t="str">
        <v>USD</v>
      </c>
      <c r="G369" t="str">
        <v>Inventory</v>
      </c>
      <c r="H369" t="str">
        <v>Paid</v>
      </c>
      <c r="I369" t="str">
        <v/>
      </c>
    </row>
    <row r="370" spans="1:9" x14ac:dyDescent="0.2">
      <c r="A370" t="str">
        <v>INV-20250120</v>
      </c>
      <c r="B370" t="str">
        <v>Northgate Marketing Group</v>
      </c>
      <c r="C370" vm="258">
        <v>45897</v>
      </c>
      <c r="D370" vm="259">
        <v>45927</v>
      </c>
      <c r="E370">
        <v>17569.740000000002</v>
      </c>
      <c r="F370" t="str">
        <v>USD</v>
      </c>
      <c r="G370" t="str">
        <v>Marketing</v>
      </c>
      <c r="H370" t="str">
        <v>Paid</v>
      </c>
      <c r="I370" t="str">
        <v/>
      </c>
    </row>
    <row r="371" spans="1:9" x14ac:dyDescent="0.2">
      <c r="A371" t="str">
        <v>INV-20250274</v>
      </c>
      <c r="B371" t="str">
        <v>Ironwood Hardware Supply</v>
      </c>
      <c r="C371" vm="258">
        <v>45897</v>
      </c>
      <c r="D371" vm="260">
        <v>45942</v>
      </c>
      <c r="E371">
        <v>34618.959999999999</v>
      </c>
      <c r="F371" t="str">
        <v>USD</v>
      </c>
      <c r="G371" t="str">
        <v>Inventory</v>
      </c>
      <c r="H371" t="str">
        <v>Paid</v>
      </c>
      <c r="I371" t="str">
        <v>rush</v>
      </c>
    </row>
    <row r="372" spans="1:9" x14ac:dyDescent="0.2">
      <c r="A372" t="str">
        <v>INV-20250466</v>
      </c>
      <c r="B372" t="str">
        <v>Pacific Freight Lines Inc.</v>
      </c>
      <c r="C372" vm="218">
        <v>45898</v>
      </c>
      <c r="D372" vm="245">
        <v>45928</v>
      </c>
      <c r="E372">
        <v>1588.84</v>
      </c>
      <c r="F372" t="str">
        <v>USD</v>
      </c>
      <c r="G372" t="str">
        <v>Freight</v>
      </c>
      <c r="H372" t="str">
        <v>Paid</v>
      </c>
      <c r="I372" t="str">
        <v>partial shipment</v>
      </c>
    </row>
    <row r="373" spans="1:9" x14ac:dyDescent="0.2">
      <c r="A373" t="str">
        <v>INV-20250374</v>
      </c>
      <c r="B373" t="str">
        <v>Northgate Marketing Group</v>
      </c>
      <c r="C373" vm="218">
        <v>45898</v>
      </c>
      <c r="D373" vm="245">
        <v>45928</v>
      </c>
      <c r="E373">
        <v>-500.35</v>
      </c>
      <c r="F373" t="str">
        <v>USD</v>
      </c>
      <c r="G373" t="str">
        <v>Marketing</v>
      </c>
      <c r="H373" t="str">
        <v>Paid</v>
      </c>
      <c r="I373" t="str">
        <v/>
      </c>
    </row>
    <row r="374" spans="1:9" x14ac:dyDescent="0.2">
      <c r="A374" t="str">
        <v>INV-20250272</v>
      </c>
      <c r="B374" t="str">
        <v>Timberline Mills</v>
      </c>
      <c r="C374" vm="261">
        <v>45900</v>
      </c>
      <c r="D374" vm="262">
        <v>45945</v>
      </c>
      <c r="E374">
        <v>25695.38</v>
      </c>
      <c r="F374" t="str">
        <v>USD</v>
      </c>
      <c r="G374" t="str">
        <v>Inventory</v>
      </c>
      <c r="H374" t="str">
        <v>Paid</v>
      </c>
      <c r="I374" t="str">
        <v/>
      </c>
    </row>
    <row r="375" spans="1:9" x14ac:dyDescent="0.2">
      <c r="A375" t="str">
        <v>INV-20250141</v>
      </c>
      <c r="B375" t="str">
        <v>Ironwood Hardware Supply</v>
      </c>
      <c r="C375" vm="261">
        <v>45900</v>
      </c>
      <c r="D375" vm="262">
        <v>45945</v>
      </c>
      <c r="E375">
        <v>5332.41</v>
      </c>
      <c r="F375" t="str">
        <v>USD</v>
      </c>
      <c r="G375" t="str">
        <v>Inventory</v>
      </c>
      <c r="H375" t="str">
        <v>Paid</v>
      </c>
      <c r="I375" t="str">
        <v>approved by JM</v>
      </c>
    </row>
    <row r="376" spans="1:9" x14ac:dyDescent="0.2">
      <c r="A376" t="str">
        <v>INV-20250119</v>
      </c>
      <c r="B376" t="str">
        <v>Riverbend Fasteners Co.</v>
      </c>
      <c r="C376" vm="261">
        <v>45900</v>
      </c>
      <c r="D376" vm="262">
        <v>45945</v>
      </c>
      <c r="E376">
        <v>46604.38</v>
      </c>
      <c r="F376" t="str">
        <v>USD</v>
      </c>
      <c r="G376" t="str">
        <v>Inventory</v>
      </c>
      <c r="H376" t="str">
        <v>Paid</v>
      </c>
      <c r="I376" t="str">
        <v>partial shipment</v>
      </c>
    </row>
    <row r="377" spans="1:9" x14ac:dyDescent="0.2">
      <c r="A377" t="str">
        <v>INV-20250042</v>
      </c>
      <c r="B377" t="str">
        <v>Riverbend Fasteners Co.</v>
      </c>
      <c r="C377" vm="261">
        <v>45900</v>
      </c>
      <c r="D377" vm="262">
        <v>45945</v>
      </c>
      <c r="E377">
        <v>32919.800000000003</v>
      </c>
      <c r="F377" t="str">
        <v>USD</v>
      </c>
      <c r="G377" t="str">
        <v>Inventory</v>
      </c>
      <c r="H377" t="str">
        <v>Paid</v>
      </c>
      <c r="I377" t="str">
        <v>see email</v>
      </c>
    </row>
    <row r="378" spans="1:9" x14ac:dyDescent="0.2">
      <c r="A378" t="str">
        <v>INV-20250029</v>
      </c>
      <c r="B378" t="str">
        <v>Ironwood Hardware Supply</v>
      </c>
      <c r="C378" vm="237">
        <v>45903</v>
      </c>
      <c r="D378" vm="263">
        <v>45948</v>
      </c>
      <c r="E378">
        <v>40469.64</v>
      </c>
      <c r="F378" t="str">
        <v>USD</v>
      </c>
      <c r="G378" t="str">
        <v>Inventory</v>
      </c>
      <c r="H378" t="str">
        <v>Paid</v>
      </c>
      <c r="I378" t="str">
        <v/>
      </c>
    </row>
    <row r="379" spans="1:9" x14ac:dyDescent="0.2">
      <c r="A379" t="str">
        <v>INV-20250028</v>
      </c>
      <c r="B379" t="str">
        <v>Harbor Light Utilities</v>
      </c>
      <c r="C379" vm="237">
        <v>45903</v>
      </c>
      <c r="D379" vm="236">
        <v>45918</v>
      </c>
      <c r="E379">
        <v>2961.2</v>
      </c>
      <c r="F379" t="str">
        <v>USD</v>
      </c>
      <c r="G379" t="str">
        <v>Utilities</v>
      </c>
      <c r="H379" t="str">
        <v>Paid</v>
      </c>
      <c r="I379" t="str">
        <v/>
      </c>
    </row>
    <row r="380" spans="1:9" x14ac:dyDescent="0.2">
      <c r="A380" t="str">
        <v>INV-20250264</v>
      </c>
      <c r="B380" t="str">
        <v>Ironwood Hardware Supply</v>
      </c>
      <c r="C380" vm="237">
        <v>45903</v>
      </c>
      <c r="D380" vm="263">
        <v>45948</v>
      </c>
      <c r="E380">
        <v>25336.45</v>
      </c>
      <c r="F380" t="str">
        <v>USD</v>
      </c>
      <c r="G380" t="str">
        <v>Inventory</v>
      </c>
      <c r="H380" t="str">
        <v>Paid</v>
      </c>
      <c r="I380" t="str">
        <v>see email</v>
      </c>
    </row>
    <row r="381" spans="1:9" x14ac:dyDescent="0.2">
      <c r="A381" t="str">
        <v>INV-20250469</v>
      </c>
      <c r="B381" t="str">
        <v>Ironwood Hardware Supply</v>
      </c>
      <c r="C381" vm="223">
        <v>45904</v>
      </c>
      <c r="D381" vm="264">
        <v>45949</v>
      </c>
      <c r="E381">
        <v>32885.89</v>
      </c>
      <c r="F381" t="str">
        <v>USD</v>
      </c>
      <c r="G381" t="str">
        <v>Inventory</v>
      </c>
      <c r="H381" t="str">
        <v>Paid</v>
      </c>
      <c r="I381" t="str">
        <v>rush</v>
      </c>
    </row>
    <row r="382" spans="1:9" x14ac:dyDescent="0.2">
      <c r="A382" t="str">
        <v>INV-20250094</v>
      </c>
      <c r="B382" t="str">
        <v>Timberline Mills</v>
      </c>
      <c r="C382" vm="223">
        <v>45904</v>
      </c>
      <c r="D382" vm="264">
        <v>45949</v>
      </c>
      <c r="E382">
        <v>6669.08</v>
      </c>
      <c r="F382" t="str">
        <v>USD</v>
      </c>
      <c r="G382" t="str">
        <v>Inventory</v>
      </c>
      <c r="H382" t="str">
        <v>Paid</v>
      </c>
      <c r="I382" t="str">
        <v/>
      </c>
    </row>
    <row r="383" spans="1:9" x14ac:dyDescent="0.2">
      <c r="A383" t="str">
        <v>INV-20250249</v>
      </c>
      <c r="B383" t="str">
        <v>BlueRiver Software</v>
      </c>
      <c r="C383" vm="224">
        <v>45905</v>
      </c>
      <c r="D383" vm="239">
        <v>45920</v>
      </c>
      <c r="E383">
        <v>1301.43</v>
      </c>
      <c r="F383" t="str">
        <v>USD</v>
      </c>
      <c r="G383" t="str">
        <v>Software</v>
      </c>
      <c r="H383" t="str">
        <v>Paid</v>
      </c>
      <c r="I383" t="str">
        <v/>
      </c>
    </row>
    <row r="384" spans="1:9" x14ac:dyDescent="0.2">
      <c r="A384" t="str">
        <v>INV-20250327</v>
      </c>
      <c r="B384" t="str">
        <v>Riverbend Fasteners Co.</v>
      </c>
      <c r="C384" vm="224">
        <v>45905</v>
      </c>
      <c r="D384" vm="265">
        <v>45950</v>
      </c>
      <c r="E384">
        <v>6453.78</v>
      </c>
      <c r="F384" t="str">
        <v>USD</v>
      </c>
      <c r="G384" t="str">
        <v>Inventory</v>
      </c>
      <c r="H384" t="str">
        <v>Paid</v>
      </c>
      <c r="I384" t="str">
        <v/>
      </c>
    </row>
    <row r="385" spans="1:9" x14ac:dyDescent="0.2">
      <c r="A385" t="str">
        <v>INV-20250507</v>
      </c>
      <c r="B385" t="str">
        <v>Timberline Mills</v>
      </c>
      <c r="C385" vm="225">
        <v>45906</v>
      </c>
      <c r="D385" vm="266">
        <v>45951</v>
      </c>
      <c r="E385">
        <v>18047.32</v>
      </c>
      <c r="F385" t="str">
        <v>USD</v>
      </c>
      <c r="G385" t="str">
        <v>Inventory</v>
      </c>
      <c r="H385" t="str">
        <v>Paid</v>
      </c>
      <c r="I385" t="str">
        <v>approved by JM</v>
      </c>
    </row>
    <row r="386" spans="1:9" x14ac:dyDescent="0.2">
      <c r="A386" t="str">
        <v>INV-20250109</v>
      </c>
      <c r="B386" t="str">
        <v>Ironwood Hardware Supply</v>
      </c>
      <c r="C386" vm="225">
        <v>45906</v>
      </c>
      <c r="D386" vm="266">
        <v>45951</v>
      </c>
      <c r="E386">
        <v>6154.98</v>
      </c>
      <c r="F386" t="str">
        <v>USD</v>
      </c>
      <c r="G386" t="str">
        <v>Inventory</v>
      </c>
      <c r="H386" t="str">
        <v>Paid</v>
      </c>
      <c r="I386" t="str">
        <v>partial shipment</v>
      </c>
    </row>
    <row r="387" spans="1:9" x14ac:dyDescent="0.2">
      <c r="A387" t="str">
        <v>INV-20250310</v>
      </c>
      <c r="B387" t="str">
        <v>Keller &amp; Moss CPAs</v>
      </c>
      <c r="C387" vm="225">
        <v>45906</v>
      </c>
      <c r="D387" vm="267">
        <v>45936</v>
      </c>
      <c r="E387">
        <v>9872.58</v>
      </c>
      <c r="F387" t="str">
        <v>USD</v>
      </c>
      <c r="G387" t="str">
        <v>Professional Fees</v>
      </c>
      <c r="H387" t="str">
        <v>Paid</v>
      </c>
      <c r="I387" t="str">
        <v>approved by JM</v>
      </c>
    </row>
    <row r="388" spans="1:9" x14ac:dyDescent="0.2">
      <c r="A388" t="str">
        <v>INV-20250058</v>
      </c>
      <c r="B388" t="str">
        <v>Ironwood Hardware Supply</v>
      </c>
      <c r="C388" vm="268">
        <v>45907</v>
      </c>
      <c r="D388" vm="269">
        <v>45952</v>
      </c>
      <c r="E388">
        <v>11162.99</v>
      </c>
      <c r="F388" t="str">
        <v>USD</v>
      </c>
      <c r="G388" t="str">
        <v>Inventory</v>
      </c>
      <c r="H388" t="str">
        <v>Paid</v>
      </c>
      <c r="I388" t="str">
        <v>rush</v>
      </c>
    </row>
    <row r="389" spans="1:9" x14ac:dyDescent="0.2">
      <c r="A389" t="str">
        <v>INV-20250322</v>
      </c>
      <c r="B389" t="str">
        <v>Harbor Light Utilities</v>
      </c>
      <c r="C389" vm="268">
        <v>45907</v>
      </c>
      <c r="D389" vm="270">
        <v>45922</v>
      </c>
      <c r="E389">
        <v>4073.29</v>
      </c>
      <c r="F389" t="str">
        <v>USD</v>
      </c>
      <c r="G389" t="str">
        <v>Utilities</v>
      </c>
      <c r="H389" t="str">
        <v>Paid</v>
      </c>
      <c r="I389" t="str">
        <v>partial shipment</v>
      </c>
    </row>
    <row r="390" spans="1:9" x14ac:dyDescent="0.2">
      <c r="A390" t="str">
        <v>INV-20250452</v>
      </c>
      <c r="B390" t="str">
        <v>Riverbend Fasteners Co.</v>
      </c>
      <c r="C390" vm="227">
        <v>45908</v>
      </c>
      <c r="D390" vm="271">
        <v>45953</v>
      </c>
      <c r="E390">
        <v>46096.25</v>
      </c>
      <c r="F390" t="str">
        <v>USD</v>
      </c>
      <c r="G390" t="str">
        <v>Inventory</v>
      </c>
      <c r="H390" t="str">
        <v>Paid</v>
      </c>
      <c r="I390" t="str">
        <v/>
      </c>
    </row>
    <row r="391" spans="1:9" x14ac:dyDescent="0.2">
      <c r="A391" t="str">
        <v>INV-20250095</v>
      </c>
      <c r="B391" t="str">
        <v>Riverbend Fasteners Co.</v>
      </c>
      <c r="C391" vm="227">
        <v>45908</v>
      </c>
      <c r="D391" vm="271">
        <v>45953</v>
      </c>
      <c r="E391">
        <v>16797.689999999999</v>
      </c>
      <c r="F391" t="str">
        <v>USD</v>
      </c>
      <c r="G391" t="str">
        <v>Inventory</v>
      </c>
      <c r="H391" t="str">
        <v>Paid</v>
      </c>
      <c r="I391" t="str">
        <v/>
      </c>
    </row>
    <row r="392" spans="1:9" x14ac:dyDescent="0.2">
      <c r="A392" t="str">
        <v>INV-20250197</v>
      </c>
      <c r="B392" t="str">
        <v>Timberline Mills</v>
      </c>
      <c r="C392" vm="227">
        <v>45908</v>
      </c>
      <c r="D392" vm="271">
        <v>45953</v>
      </c>
      <c r="E392">
        <v>13999.42</v>
      </c>
      <c r="F392" t="str">
        <v>EUR</v>
      </c>
      <c r="G392" t="str">
        <v>Inventory</v>
      </c>
      <c r="H392" t="str">
        <v>Paid</v>
      </c>
      <c r="I392" t="str">
        <v/>
      </c>
    </row>
    <row r="393" spans="1:9" x14ac:dyDescent="0.2">
      <c r="A393" t="str">
        <v>INV-20250404</v>
      </c>
      <c r="B393" t="str">
        <v>Northgate Marketing Group</v>
      </c>
      <c r="C393" vm="230">
        <v>45909</v>
      </c>
      <c r="D393" vm="256">
        <v>45939</v>
      </c>
      <c r="E393">
        <v>15258.68</v>
      </c>
      <c r="F393" t="str">
        <v>USD</v>
      </c>
      <c r="G393" t="str">
        <v>Marketing</v>
      </c>
      <c r="H393" t="str">
        <v>Paid</v>
      </c>
      <c r="I393" t="str">
        <v>see email</v>
      </c>
    </row>
    <row r="394" spans="1:9" x14ac:dyDescent="0.2">
      <c r="A394" t="str">
        <v>INV-20250229</v>
      </c>
      <c r="B394" t="str">
        <v>Ironwood Hardware Supply</v>
      </c>
      <c r="C394" vm="230">
        <v>45909</v>
      </c>
      <c r="D394" vm="272">
        <v>45954</v>
      </c>
      <c r="E394">
        <v>8210.32</v>
      </c>
      <c r="F394" t="str">
        <v>USD</v>
      </c>
      <c r="G394" t="str">
        <v>Inventory</v>
      </c>
      <c r="H394" t="str">
        <v>Paid</v>
      </c>
      <c r="I394" t="str">
        <v>rush</v>
      </c>
    </row>
    <row r="395" spans="1:9" x14ac:dyDescent="0.2">
      <c r="A395" t="str">
        <v>INV-20250129</v>
      </c>
      <c r="B395" t="str">
        <v>Pacific Freight Lines Inc.</v>
      </c>
      <c r="C395" vm="242">
        <v>45910</v>
      </c>
      <c r="D395" vm="257">
        <v>45940</v>
      </c>
      <c r="E395">
        <v>1176.19</v>
      </c>
      <c r="F395" t="str">
        <v>USD</v>
      </c>
      <c r="G395" t="str">
        <v>Freight</v>
      </c>
      <c r="H395" t="str">
        <v>Paid</v>
      </c>
      <c r="I395" t="str">
        <v>rush</v>
      </c>
    </row>
    <row r="396" spans="1:9" x14ac:dyDescent="0.2">
      <c r="A396" t="str">
        <v>INV-20250298</v>
      </c>
      <c r="B396" t="str">
        <v>Riverbend Fasteners Co.</v>
      </c>
      <c r="C396" vm="231">
        <v>45913</v>
      </c>
      <c r="D396" vm="273">
        <v>45958</v>
      </c>
      <c r="E396">
        <v>24265.51</v>
      </c>
      <c r="F396" t="str">
        <v>USD</v>
      </c>
      <c r="G396" t="str">
        <v>Inventory</v>
      </c>
      <c r="H396" t="str">
        <v>Paid</v>
      </c>
      <c r="I396" t="str">
        <v>rush</v>
      </c>
    </row>
    <row r="397" spans="1:9" x14ac:dyDescent="0.2">
      <c r="A397" t="str">
        <v>INV-20250116</v>
      </c>
      <c r="B397" t="str">
        <v>Timberline Mills</v>
      </c>
      <c r="C397" vm="231">
        <v>45913</v>
      </c>
      <c r="D397" vm="273">
        <v>45958</v>
      </c>
      <c r="E397">
        <v>16210.72</v>
      </c>
      <c r="F397" t="str">
        <v>USD</v>
      </c>
      <c r="G397" t="str">
        <v>Inventory</v>
      </c>
      <c r="H397" t="str">
        <v>Paid</v>
      </c>
      <c r="I397" t="str">
        <v/>
      </c>
    </row>
    <row r="398" spans="1:9" x14ac:dyDescent="0.2">
      <c r="A398" t="str">
        <v>INV-20250532</v>
      </c>
      <c r="B398" t="str">
        <v>Ironwood Hardware Supply</v>
      </c>
      <c r="C398" vm="231">
        <v>45913</v>
      </c>
      <c r="D398" vm="273">
        <v>45958</v>
      </c>
      <c r="E398">
        <v>13530.81</v>
      </c>
      <c r="F398" t="str">
        <v>USD</v>
      </c>
      <c r="G398" t="str">
        <v>Inventory</v>
      </c>
      <c r="H398" t="str">
        <v>Paid</v>
      </c>
      <c r="I398" t="str">
        <v>partial shipment</v>
      </c>
    </row>
    <row r="399" spans="1:9" x14ac:dyDescent="0.2">
      <c r="A399" t="str">
        <v>INV-20250070</v>
      </c>
      <c r="B399" t="str">
        <v>Harbor Light Utilities</v>
      </c>
      <c r="C399" vm="233">
        <v>45914</v>
      </c>
      <c r="D399" vm="246">
        <v>45929</v>
      </c>
      <c r="E399">
        <v>3413.18</v>
      </c>
      <c r="F399" t="str">
        <v>USD</v>
      </c>
      <c r="G399" t="str">
        <v>Utilities</v>
      </c>
      <c r="H399" t="str">
        <v>Paid</v>
      </c>
      <c r="I399" t="str">
        <v/>
      </c>
    </row>
    <row r="400" spans="1:9" x14ac:dyDescent="0.2">
      <c r="A400" t="str">
        <v>INV-20250225</v>
      </c>
      <c r="B400" t="str">
        <v>Riverbend Fasteners Co.</v>
      </c>
      <c r="C400" vm="234">
        <v>45915</v>
      </c>
      <c r="D400" vm="274">
        <v>45960</v>
      </c>
      <c r="E400">
        <v>24947.64</v>
      </c>
      <c r="F400" t="str">
        <v>USD</v>
      </c>
      <c r="G400" t="str">
        <v>Inventory</v>
      </c>
      <c r="H400" t="str">
        <v>Paid</v>
      </c>
      <c r="I400" t="str">
        <v>rush</v>
      </c>
    </row>
    <row r="401" spans="1:9" x14ac:dyDescent="0.2">
      <c r="A401" t="str">
        <v>INV-20250089</v>
      </c>
      <c r="B401" t="str">
        <v>Timberline Mills</v>
      </c>
      <c r="C401" vm="234">
        <v>45915</v>
      </c>
      <c r="D401" vm="274">
        <v>45960</v>
      </c>
      <c r="E401">
        <v>43505.73</v>
      </c>
      <c r="F401" t="str">
        <v>USD</v>
      </c>
      <c r="G401" t="str">
        <v>Inventory</v>
      </c>
      <c r="H401" t="str">
        <v>Paid</v>
      </c>
      <c r="I401" t="str">
        <v>rush</v>
      </c>
    </row>
    <row r="402" spans="1:9" x14ac:dyDescent="0.2">
      <c r="A402" t="str">
        <v>INV-20250085</v>
      </c>
      <c r="B402" t="str">
        <v>Northgate Marketing Group</v>
      </c>
      <c r="C402" vm="247">
        <v>45916</v>
      </c>
      <c r="D402" vm="275">
        <v>45946</v>
      </c>
      <c r="E402">
        <v>11311.43</v>
      </c>
      <c r="F402" t="str">
        <v>USD</v>
      </c>
      <c r="G402" t="str">
        <v>Marketing</v>
      </c>
      <c r="H402" t="str">
        <v>Paid</v>
      </c>
      <c r="I402" t="str">
        <v>see email</v>
      </c>
    </row>
    <row r="403" spans="1:9" x14ac:dyDescent="0.2">
      <c r="A403" t="str">
        <v>INV-20250073</v>
      </c>
      <c r="B403" t="str">
        <v>Ironwood Hardware Supply</v>
      </c>
      <c r="C403" vm="235">
        <v>45917</v>
      </c>
      <c r="D403" vm="276">
        <v>45962</v>
      </c>
      <c r="E403">
        <v>17542.45</v>
      </c>
      <c r="F403" t="str">
        <v>USD</v>
      </c>
      <c r="G403" t="str">
        <v>Inventory</v>
      </c>
      <c r="H403" t="str">
        <v>Paid</v>
      </c>
      <c r="I403" t="str">
        <v>approved by JM</v>
      </c>
    </row>
    <row r="404" spans="1:9" x14ac:dyDescent="0.2">
      <c r="A404" t="str">
        <v>INV-20250053</v>
      </c>
      <c r="B404" t="str">
        <v>Northgate Marketing Group</v>
      </c>
      <c r="C404" vm="235">
        <v>45917</v>
      </c>
      <c r="D404" vm="277">
        <v>45947</v>
      </c>
      <c r="E404">
        <v>17093.27</v>
      </c>
      <c r="F404" t="str">
        <v>USD</v>
      </c>
      <c r="G404" t="str">
        <v>Marketing</v>
      </c>
      <c r="H404" t="str">
        <v>Paid</v>
      </c>
      <c r="I404" t="str">
        <v>see email</v>
      </c>
    </row>
    <row r="405" spans="1:9" x14ac:dyDescent="0.2">
      <c r="A405" t="str">
        <v>INV-20250277</v>
      </c>
      <c r="B405" t="str">
        <v>Timberline Mills</v>
      </c>
      <c r="C405" vm="252">
        <v>45919</v>
      </c>
      <c r="D405" vm="278">
        <v>45964</v>
      </c>
      <c r="E405">
        <v>25303.54</v>
      </c>
      <c r="F405" t="str">
        <v>USD</v>
      </c>
      <c r="G405" t="str">
        <v>Inventory</v>
      </c>
      <c r="H405" t="str">
        <v>Paid</v>
      </c>
      <c r="I405" t="str">
        <v>see email</v>
      </c>
    </row>
    <row r="406" spans="1:9" x14ac:dyDescent="0.2">
      <c r="A406" t="str">
        <v>INV-20250159</v>
      </c>
      <c r="B406" t="str">
        <v>Ironwood Hardware Supply</v>
      </c>
      <c r="C406" vm="239">
        <v>45920</v>
      </c>
      <c r="D406" vm="279">
        <v>45965</v>
      </c>
      <c r="E406">
        <v>42109.599999999999</v>
      </c>
      <c r="F406" t="str">
        <v>USD</v>
      </c>
      <c r="G406" t="str">
        <v>Inventory</v>
      </c>
      <c r="H406" t="str">
        <v>Paid</v>
      </c>
      <c r="I406" t="str">
        <v/>
      </c>
    </row>
    <row r="407" spans="1:9" x14ac:dyDescent="0.2">
      <c r="A407" t="str">
        <v>INV-20250084</v>
      </c>
      <c r="B407" t="str">
        <v>Riverbend Fasteners Co.</v>
      </c>
      <c r="C407" vm="239">
        <v>45920</v>
      </c>
      <c r="D407" vm="279">
        <v>45965</v>
      </c>
      <c r="E407">
        <v>31602.61</v>
      </c>
      <c r="F407" t="str">
        <v>USD</v>
      </c>
      <c r="G407" t="str">
        <v>Inventory</v>
      </c>
      <c r="H407" t="str">
        <v>Paid</v>
      </c>
      <c r="I407" t="str">
        <v/>
      </c>
    </row>
    <row r="408" spans="1:9" x14ac:dyDescent="0.2">
      <c r="A408" t="str">
        <v>INV-20250347</v>
      </c>
      <c r="B408" t="str">
        <v>Timberline Mills</v>
      </c>
      <c r="C408" vm="240">
        <v>45923</v>
      </c>
      <c r="D408" vm="280">
        <v>45968</v>
      </c>
      <c r="E408">
        <v>39668.47</v>
      </c>
      <c r="F408" t="str">
        <v>USD</v>
      </c>
      <c r="G408" t="str">
        <v>Inventory</v>
      </c>
      <c r="H408" t="str">
        <v>Paid</v>
      </c>
      <c r="I408" t="str">
        <v/>
      </c>
    </row>
    <row r="409" spans="1:9" x14ac:dyDescent="0.2">
      <c r="A409" t="str">
        <v>INV-20250240</v>
      </c>
      <c r="B409" t="str">
        <v>Riverbend Fasteners Co.</v>
      </c>
      <c r="C409" vm="281">
        <v>45925</v>
      </c>
      <c r="D409" vm="282">
        <v>45970</v>
      </c>
      <c r="E409">
        <v>19339.810000000001</v>
      </c>
      <c r="F409" t="str">
        <v>USD</v>
      </c>
      <c r="G409" t="str">
        <v>Inventory</v>
      </c>
      <c r="H409" t="str">
        <v>Overdue</v>
      </c>
      <c r="I409" t="str">
        <v>partial shipment</v>
      </c>
    </row>
    <row r="410" spans="1:9" x14ac:dyDescent="0.2">
      <c r="A410" t="str">
        <v>INV-20250291</v>
      </c>
      <c r="B410" t="str">
        <v>Riverbend Fasteners Co.</v>
      </c>
      <c r="C410" vm="281">
        <v>45925</v>
      </c>
      <c r="D410" vm="282">
        <v>45970</v>
      </c>
      <c r="E410">
        <v>5732.7</v>
      </c>
      <c r="F410" t="str">
        <v>USD</v>
      </c>
      <c r="G410" t="str">
        <v>Inventory</v>
      </c>
      <c r="H410" t="str">
        <v>Paid</v>
      </c>
      <c r="I410" t="str">
        <v>rush</v>
      </c>
    </row>
    <row r="411" spans="1:9" x14ac:dyDescent="0.2">
      <c r="A411" t="str">
        <v>INV-20250010</v>
      </c>
      <c r="B411" t="str">
        <v>Ironwood Hardware Supply</v>
      </c>
      <c r="C411" vm="243">
        <v>45926</v>
      </c>
      <c r="D411" vm="283">
        <v>45971</v>
      </c>
      <c r="E411">
        <v>25785.119999999999</v>
      </c>
      <c r="F411" t="str">
        <v>USD</v>
      </c>
      <c r="G411" t="str">
        <v>Inventory</v>
      </c>
      <c r="H411" t="str">
        <v>Paid</v>
      </c>
      <c r="I411" t="str">
        <v/>
      </c>
    </row>
    <row r="412" spans="1:9" x14ac:dyDescent="0.2">
      <c r="A412" t="str">
        <v>INV-20250068</v>
      </c>
      <c r="B412" t="str">
        <v>Timberline Mills</v>
      </c>
      <c r="C412" vm="259">
        <v>45927</v>
      </c>
      <c r="D412" vm="284">
        <v>45972</v>
      </c>
      <c r="E412">
        <v>35219.620000000003</v>
      </c>
      <c r="F412" t="str">
        <v>USD</v>
      </c>
      <c r="G412" t="str">
        <v>Inventory</v>
      </c>
      <c r="H412" t="str">
        <v>Overdue</v>
      </c>
      <c r="I412" t="str">
        <v/>
      </c>
    </row>
    <row r="413" spans="1:9" x14ac:dyDescent="0.2">
      <c r="A413" t="str">
        <v>INV-20250474</v>
      </c>
      <c r="B413" t="str">
        <v>Pacific Freight Lines Inc.</v>
      </c>
      <c r="C413" vm="246">
        <v>45929</v>
      </c>
      <c r="D413" vm="285">
        <v>45959</v>
      </c>
      <c r="E413">
        <v>6328.93</v>
      </c>
      <c r="F413" t="str">
        <v>USD</v>
      </c>
      <c r="G413" t="str">
        <v>Freight</v>
      </c>
      <c r="H413" t="str">
        <v>Paid</v>
      </c>
      <c r="I413" t="str">
        <v/>
      </c>
    </row>
    <row r="414" spans="1:9" x14ac:dyDescent="0.2">
      <c r="A414" t="str">
        <v>INV-20250266</v>
      </c>
      <c r="B414" t="str">
        <v>Timberline Mills</v>
      </c>
      <c r="C414" vm="246">
        <v>45929</v>
      </c>
      <c r="D414" vm="286">
        <v>45974</v>
      </c>
      <c r="E414">
        <v>40578.43</v>
      </c>
      <c r="F414" t="str">
        <v>EUR</v>
      </c>
      <c r="G414" t="str">
        <v>Inventory</v>
      </c>
      <c r="H414" t="str">
        <v>Paid</v>
      </c>
      <c r="I414" t="str">
        <v>see email</v>
      </c>
    </row>
    <row r="415" spans="1:9" x14ac:dyDescent="0.2">
      <c r="A415" t="str">
        <v>INV-20250402</v>
      </c>
      <c r="B415" t="str">
        <v>Riverbend Fasteners Co.</v>
      </c>
      <c r="C415" vm="287">
        <v>45930</v>
      </c>
      <c r="D415" vm="288">
        <v>45975</v>
      </c>
      <c r="E415">
        <v>26630.78</v>
      </c>
      <c r="F415" t="str">
        <v>USD</v>
      </c>
      <c r="G415" t="str">
        <v>Inventory</v>
      </c>
      <c r="H415" t="str">
        <v>Paid</v>
      </c>
      <c r="I415" t="str">
        <v>see email</v>
      </c>
    </row>
    <row r="416" spans="1:9" x14ac:dyDescent="0.2">
      <c r="A416" t="str">
        <v>INV-20250032</v>
      </c>
      <c r="B416" t="str">
        <v>Pacific Freight Lines Inc.</v>
      </c>
      <c r="C416" vm="287">
        <v>45930</v>
      </c>
      <c r="D416" vm="274">
        <v>45960</v>
      </c>
      <c r="E416">
        <v>5286.69</v>
      </c>
      <c r="F416" t="str">
        <v>USD</v>
      </c>
      <c r="G416" t="str">
        <v>Freight</v>
      </c>
      <c r="H416" t="str">
        <v>Paid</v>
      </c>
      <c r="I416" t="str">
        <v/>
      </c>
    </row>
    <row r="417" spans="1:9" x14ac:dyDescent="0.2">
      <c r="A417" t="str">
        <v>INV-20250421</v>
      </c>
      <c r="B417" t="str">
        <v>Ironwood Hardware Supply</v>
      </c>
      <c r="C417" vm="248">
        <v>45931</v>
      </c>
      <c r="D417" vm="289">
        <v>45976</v>
      </c>
      <c r="E417">
        <v>14835.03</v>
      </c>
      <c r="F417" t="str">
        <v>USD</v>
      </c>
      <c r="G417" t="str">
        <v>Inventory</v>
      </c>
      <c r="H417" t="str">
        <v>Paid</v>
      </c>
      <c r="I417" t="str">
        <v/>
      </c>
    </row>
    <row r="418" spans="1:9" x14ac:dyDescent="0.2">
      <c r="A418" t="str">
        <v>INV-20250207</v>
      </c>
      <c r="B418" t="str">
        <v>Northgate Marketing Group</v>
      </c>
      <c r="C418" vm="249">
        <v>45933</v>
      </c>
      <c r="D418" vm="290">
        <v>45963</v>
      </c>
      <c r="E418">
        <v>2598.42</v>
      </c>
      <c r="F418" t="str">
        <v>USD</v>
      </c>
      <c r="G418" t="str">
        <v>Marketing</v>
      </c>
      <c r="H418" t="str">
        <v>Paid</v>
      </c>
      <c r="I418" t="str">
        <v>partial shipment</v>
      </c>
    </row>
    <row r="419" spans="1:9" x14ac:dyDescent="0.2">
      <c r="A419" t="str">
        <v>INV-20250390</v>
      </c>
      <c r="B419" t="str">
        <v>Ironwood Hardware Supply</v>
      </c>
      <c r="C419" vm="249">
        <v>45933</v>
      </c>
      <c r="D419" vm="291">
        <v>45978</v>
      </c>
      <c r="E419">
        <v>31279.66</v>
      </c>
      <c r="F419" t="str">
        <v>USD</v>
      </c>
      <c r="G419" t="str">
        <v>Inventory</v>
      </c>
      <c r="H419" t="str">
        <v>Paid</v>
      </c>
      <c r="I419" t="str">
        <v>partial shipment</v>
      </c>
    </row>
    <row r="420" spans="1:9" x14ac:dyDescent="0.2">
      <c r="A420" t="str">
        <v>INV-20250518</v>
      </c>
      <c r="B420" t="str">
        <v>Ironwood Hardware Supply</v>
      </c>
      <c r="C420" vm="249">
        <v>45933</v>
      </c>
      <c r="D420" vm="291">
        <v>45978</v>
      </c>
      <c r="E420">
        <v>33926.6</v>
      </c>
      <c r="F420" t="str">
        <v>USD</v>
      </c>
      <c r="G420" t="str">
        <v>Inventory</v>
      </c>
      <c r="H420" t="str">
        <v>Paid</v>
      </c>
      <c r="I420" t="str">
        <v>see email</v>
      </c>
    </row>
    <row r="421" spans="1:9" x14ac:dyDescent="0.2">
      <c r="A421" t="str">
        <v>INV-20250549</v>
      </c>
      <c r="B421" t="str">
        <v>Ironwood Hardware Supply</v>
      </c>
      <c r="C421" vm="251">
        <v>45934</v>
      </c>
      <c r="D421" vm="292">
        <v>45979</v>
      </c>
      <c r="E421">
        <v>22442.560000000001</v>
      </c>
      <c r="F421" t="str">
        <v>USD</v>
      </c>
      <c r="G421" t="str">
        <v>Inventory</v>
      </c>
      <c r="H421" t="str">
        <v>Paid</v>
      </c>
      <c r="I421" t="str">
        <v>rush</v>
      </c>
    </row>
    <row r="422" spans="1:9" x14ac:dyDescent="0.2">
      <c r="A422" t="str">
        <v>INV-20250251</v>
      </c>
      <c r="B422" t="str">
        <v>Ironwood Hardware Supply</v>
      </c>
      <c r="C422" vm="267">
        <v>45936</v>
      </c>
      <c r="D422" vm="293">
        <v>45981</v>
      </c>
      <c r="E422">
        <v>13586.79</v>
      </c>
      <c r="F422" t="str">
        <v>USD</v>
      </c>
      <c r="G422" t="str">
        <v>Inventory</v>
      </c>
      <c r="H422" t="str">
        <v>Overdue</v>
      </c>
      <c r="I422" t="str">
        <v>approved by JM</v>
      </c>
    </row>
    <row r="423" spans="1:9" x14ac:dyDescent="0.2">
      <c r="A423" t="str">
        <v>INV-20250524</v>
      </c>
      <c r="B423" t="str">
        <v>Timberline Mills</v>
      </c>
      <c r="C423" vm="267">
        <v>45936</v>
      </c>
      <c r="D423" vm="293">
        <v>45981</v>
      </c>
      <c r="E423">
        <v>26081.439999999999</v>
      </c>
      <c r="F423" t="str">
        <v>USD</v>
      </c>
      <c r="G423" t="str">
        <v>Inventory</v>
      </c>
      <c r="H423" t="str">
        <v>Paid</v>
      </c>
      <c r="I423" t="str">
        <v/>
      </c>
    </row>
    <row r="424" spans="1:9" x14ac:dyDescent="0.2">
      <c r="A424" t="str">
        <v>INV-20250372</v>
      </c>
      <c r="B424" t="str">
        <v>Timberline Mills</v>
      </c>
      <c r="C424" vm="254">
        <v>45937</v>
      </c>
      <c r="D424" vm="294">
        <v>45982</v>
      </c>
      <c r="E424">
        <v>16635.37</v>
      </c>
      <c r="F424" t="str">
        <v>USD</v>
      </c>
      <c r="G424" t="str">
        <v>Inventory</v>
      </c>
      <c r="H424" t="str">
        <v>Paid</v>
      </c>
      <c r="I424" t="str">
        <v/>
      </c>
    </row>
    <row r="425" spans="1:9" x14ac:dyDescent="0.2">
      <c r="A425" t="str">
        <v>INV-20250234</v>
      </c>
      <c r="B425" t="str">
        <v>BlueRiver Software</v>
      </c>
      <c r="C425" vm="254">
        <v>45937</v>
      </c>
      <c r="D425" vm="269">
        <v>45952</v>
      </c>
      <c r="E425">
        <v>1402.62</v>
      </c>
      <c r="F425" t="str">
        <v>USD</v>
      </c>
      <c r="G425" t="str">
        <v>Software</v>
      </c>
      <c r="H425" t="str">
        <v>Paid</v>
      </c>
      <c r="I425" t="str">
        <v/>
      </c>
    </row>
    <row r="426" spans="1:9" x14ac:dyDescent="0.2">
      <c r="A426" t="str">
        <v>INV-20250473</v>
      </c>
      <c r="B426" t="str">
        <v>Pacific Freight Lines Inc.</v>
      </c>
      <c r="C426" vm="255">
        <v>45938</v>
      </c>
      <c r="D426" vm="280">
        <v>45968</v>
      </c>
      <c r="E426">
        <v>6973.76</v>
      </c>
      <c r="F426" t="str">
        <v>USD</v>
      </c>
      <c r="G426" t="str">
        <v>Freight</v>
      </c>
      <c r="H426" t="str">
        <v>Paid</v>
      </c>
      <c r="I426" t="str">
        <v/>
      </c>
    </row>
    <row r="427" spans="1:9" x14ac:dyDescent="0.2">
      <c r="A427" t="str">
        <v>INV-20250309</v>
      </c>
      <c r="B427" t="str">
        <v>Ironwood Hardware Supply</v>
      </c>
      <c r="C427" vm="255">
        <v>45938</v>
      </c>
      <c r="D427" vm="295">
        <v>45983</v>
      </c>
      <c r="E427">
        <v>34124.11</v>
      </c>
      <c r="F427" t="str">
        <v>USD</v>
      </c>
      <c r="G427" t="str">
        <v>Inventory</v>
      </c>
      <c r="H427" t="str">
        <v>Paid</v>
      </c>
      <c r="I427" t="str">
        <v/>
      </c>
    </row>
    <row r="428" spans="1:9" x14ac:dyDescent="0.2">
      <c r="A428" t="str">
        <v>INV-20250261</v>
      </c>
      <c r="B428" t="str">
        <v>Ironwood Hardware Supply</v>
      </c>
      <c r="C428" vm="255">
        <v>45938</v>
      </c>
      <c r="D428" vm="295">
        <v>45983</v>
      </c>
      <c r="E428">
        <v>32582.73</v>
      </c>
      <c r="F428" t="str">
        <v>USD</v>
      </c>
      <c r="G428" t="str">
        <v>Inventory</v>
      </c>
      <c r="H428" t="str">
        <v>Paid</v>
      </c>
      <c r="I428" t="str">
        <v>rush</v>
      </c>
    </row>
    <row r="429" spans="1:9" x14ac:dyDescent="0.2">
      <c r="A429" t="str">
        <v>INV-20250078</v>
      </c>
      <c r="B429" t="str">
        <v>Ironwood Hardware Supply</v>
      </c>
      <c r="C429" vm="255">
        <v>45938</v>
      </c>
      <c r="D429" vm="295">
        <v>45983</v>
      </c>
      <c r="E429">
        <v>-1076.51</v>
      </c>
      <c r="F429" t="str">
        <v>USD</v>
      </c>
      <c r="G429" t="str">
        <v>Inventory</v>
      </c>
      <c r="H429" t="str">
        <v>Paid</v>
      </c>
      <c r="I429" t="str">
        <v>partial shipment</v>
      </c>
    </row>
    <row r="430" spans="1:9" x14ac:dyDescent="0.2">
      <c r="A430" t="str">
        <v>INV-20250019</v>
      </c>
      <c r="B430" t="str">
        <v>BlueRiver Software</v>
      </c>
      <c r="C430" vm="256">
        <v>45939</v>
      </c>
      <c r="D430" vm="272">
        <v>45954</v>
      </c>
      <c r="E430">
        <v>912.53</v>
      </c>
      <c r="F430" t="str">
        <v>USD</v>
      </c>
      <c r="G430" t="str">
        <v>Software</v>
      </c>
      <c r="H430" t="str">
        <v>Paid</v>
      </c>
      <c r="I430" t="str">
        <v>see email</v>
      </c>
    </row>
    <row r="431" spans="1:9" x14ac:dyDescent="0.2">
      <c r="A431" t="str">
        <v>INV-20250096</v>
      </c>
      <c r="B431" t="str">
        <v>Timberline Mills</v>
      </c>
      <c r="C431" vm="256">
        <v>45939</v>
      </c>
      <c r="D431" vm="296">
        <v>45984</v>
      </c>
      <c r="E431">
        <v>12767</v>
      </c>
      <c r="F431" t="str">
        <v>EUR</v>
      </c>
      <c r="G431" t="str">
        <v>Inventory</v>
      </c>
      <c r="H431" t="str">
        <v>Overdue</v>
      </c>
      <c r="I431" t="str">
        <v>approved by JM</v>
      </c>
    </row>
    <row r="432" spans="1:9" x14ac:dyDescent="0.2">
      <c r="A432" t="str">
        <v>INV-20250279</v>
      </c>
      <c r="B432" t="str">
        <v>Northgate Marketing Group</v>
      </c>
      <c r="C432" vm="297">
        <v>45941</v>
      </c>
      <c r="D432" vm="283">
        <v>45971</v>
      </c>
      <c r="E432">
        <v>14443.9</v>
      </c>
      <c r="F432" t="str">
        <v>USD</v>
      </c>
      <c r="G432" t="str">
        <v>Marketing</v>
      </c>
      <c r="H432" t="str">
        <v>Paid</v>
      </c>
      <c r="I432" t="str">
        <v/>
      </c>
    </row>
    <row r="433" spans="1:9" x14ac:dyDescent="0.2">
      <c r="A433" t="str">
        <v>INV-20250415</v>
      </c>
      <c r="B433" t="str">
        <v>Ironwood Hardware Supply</v>
      </c>
      <c r="C433" vm="297">
        <v>45941</v>
      </c>
      <c r="D433" vm="298">
        <v>45986</v>
      </c>
      <c r="E433">
        <v>14777.19</v>
      </c>
      <c r="F433" t="str">
        <v>USD</v>
      </c>
      <c r="G433" t="str">
        <v>Inventory</v>
      </c>
      <c r="H433" t="str">
        <v>Paid</v>
      </c>
      <c r="I433" t="str">
        <v>rush</v>
      </c>
    </row>
    <row r="434" spans="1:9" x14ac:dyDescent="0.2">
      <c r="A434" t="str">
        <v>INV-20250049</v>
      </c>
      <c r="B434" t="str">
        <v>Timberline Mills</v>
      </c>
      <c r="C434" vm="260">
        <v>45942</v>
      </c>
      <c r="D434" vm="299">
        <v>45987</v>
      </c>
      <c r="E434">
        <v>6717.23</v>
      </c>
      <c r="F434" t="str">
        <v>USD</v>
      </c>
      <c r="G434" t="str">
        <v>Inventory</v>
      </c>
      <c r="H434" t="str">
        <v>Paid</v>
      </c>
      <c r="I434" t="str">
        <v/>
      </c>
    </row>
    <row r="435" spans="1:9" x14ac:dyDescent="0.2">
      <c r="A435" t="str">
        <v>INV-20250385</v>
      </c>
      <c r="B435" t="str">
        <v>Northgate Marketing Group</v>
      </c>
      <c r="C435" vm="260">
        <v>45942</v>
      </c>
      <c r="D435" vm="284">
        <v>45972</v>
      </c>
      <c r="E435">
        <v>11729.02</v>
      </c>
      <c r="F435" t="str">
        <v>USD</v>
      </c>
      <c r="G435" t="str">
        <v>Marketing</v>
      </c>
      <c r="H435" t="str">
        <v>Paid</v>
      </c>
      <c r="I435" t="str">
        <v/>
      </c>
    </row>
    <row r="436" spans="1:9" x14ac:dyDescent="0.2">
      <c r="A436" t="str">
        <v>INV-20250553</v>
      </c>
      <c r="B436" t="str">
        <v>Riverbend Fasteners Co.</v>
      </c>
      <c r="C436" vm="300">
        <v>45943</v>
      </c>
      <c r="D436" vm="301">
        <v>45988</v>
      </c>
      <c r="E436">
        <v>18272.41</v>
      </c>
      <c r="F436" t="str">
        <v>USD</v>
      </c>
      <c r="G436" t="str">
        <v>Inventory</v>
      </c>
      <c r="H436" t="str">
        <v>Paid</v>
      </c>
      <c r="I436" t="str">
        <v>partial shipment</v>
      </c>
    </row>
    <row r="437" spans="1:9" x14ac:dyDescent="0.2">
      <c r="A437" t="str">
        <v>INV-20250338</v>
      </c>
      <c r="B437" t="str">
        <v>Pacific Freight Lines Inc.</v>
      </c>
      <c r="C437" vm="302">
        <v>45944</v>
      </c>
      <c r="D437" vm="286">
        <v>45974</v>
      </c>
      <c r="E437">
        <v>4767.3900000000003</v>
      </c>
      <c r="F437" t="str">
        <v>USD</v>
      </c>
      <c r="G437" t="str">
        <v>Freight</v>
      </c>
      <c r="H437" t="str">
        <v>Paid</v>
      </c>
      <c r="I437" t="str">
        <v>rush</v>
      </c>
    </row>
    <row r="438" spans="1:9" x14ac:dyDescent="0.2">
      <c r="A438" t="str">
        <v>INV-20250050</v>
      </c>
      <c r="B438" t="str">
        <v>Timberline Mills</v>
      </c>
      <c r="C438" vm="302">
        <v>45944</v>
      </c>
      <c r="D438" vm="303">
        <v>45989</v>
      </c>
      <c r="E438">
        <v>6500.19</v>
      </c>
      <c r="F438" t="str">
        <v>USD</v>
      </c>
      <c r="G438" t="str">
        <v>Inventory</v>
      </c>
      <c r="H438" t="str">
        <v>Paid</v>
      </c>
      <c r="I438" t="str">
        <v>rush</v>
      </c>
    </row>
    <row r="439" spans="1:9" x14ac:dyDescent="0.2">
      <c r="A439" t="str">
        <v>INV-20250054</v>
      </c>
      <c r="B439" t="str">
        <v>Ironwood Hardware Supply</v>
      </c>
      <c r="C439" vm="302">
        <v>45944</v>
      </c>
      <c r="D439" vm="303">
        <v>45989</v>
      </c>
      <c r="E439">
        <v>43281.22</v>
      </c>
      <c r="F439" t="str">
        <v>USD</v>
      </c>
      <c r="G439" t="str">
        <v>Inventory</v>
      </c>
      <c r="H439" t="str">
        <v>Paid</v>
      </c>
      <c r="I439" t="str">
        <v/>
      </c>
    </row>
    <row r="440" spans="1:9" x14ac:dyDescent="0.2">
      <c r="A440" t="str">
        <v>INV-20250051</v>
      </c>
      <c r="B440" t="str">
        <v>Harbor Light Utilities</v>
      </c>
      <c r="C440" vm="262">
        <v>45945</v>
      </c>
      <c r="D440" vm="274">
        <v>45960</v>
      </c>
      <c r="E440">
        <v>1866.88</v>
      </c>
      <c r="F440" t="str">
        <v>USD</v>
      </c>
      <c r="G440" t="str">
        <v>Utilities</v>
      </c>
      <c r="H440" t="str">
        <v>Paid</v>
      </c>
      <c r="I440" t="str">
        <v/>
      </c>
    </row>
    <row r="441" spans="1:9" x14ac:dyDescent="0.2">
      <c r="A441" t="str">
        <v>INV-20250393</v>
      </c>
      <c r="B441" t="str">
        <v>Riverbend Fasteners Co.</v>
      </c>
      <c r="C441" vm="262">
        <v>45945</v>
      </c>
      <c r="D441" vm="304">
        <v>45990</v>
      </c>
      <c r="E441">
        <v>44850.14</v>
      </c>
      <c r="F441" t="str">
        <v>USD</v>
      </c>
      <c r="G441" t="str">
        <v>Inventory</v>
      </c>
      <c r="H441" t="str">
        <v>Paid</v>
      </c>
      <c r="I441" t="str">
        <v/>
      </c>
    </row>
    <row r="442" spans="1:9" x14ac:dyDescent="0.2">
      <c r="A442" t="str">
        <v>INV-20250362</v>
      </c>
      <c r="B442" t="str">
        <v>BlueRiver Software</v>
      </c>
      <c r="C442" vm="275">
        <v>45946</v>
      </c>
      <c r="D442" vm="305">
        <v>45961</v>
      </c>
      <c r="E442">
        <v>2069.63</v>
      </c>
      <c r="F442" t="str">
        <v>USD</v>
      </c>
      <c r="G442" t="str">
        <v>Software</v>
      </c>
      <c r="H442" t="str">
        <v>Paid</v>
      </c>
      <c r="I442" t="str">
        <v/>
      </c>
    </row>
    <row r="443" spans="1:9" x14ac:dyDescent="0.2">
      <c r="A443" t="str">
        <v>INV-20250481</v>
      </c>
      <c r="B443" t="str">
        <v>Pacific Freight Lines Inc.</v>
      </c>
      <c r="C443" vm="275">
        <v>45946</v>
      </c>
      <c r="D443" vm="289">
        <v>45976</v>
      </c>
      <c r="E443">
        <v>1829.16</v>
      </c>
      <c r="F443" t="str">
        <v>USD</v>
      </c>
      <c r="G443" t="str">
        <v>Freight</v>
      </c>
      <c r="H443" t="str">
        <v>Paid</v>
      </c>
      <c r="I443" t="str">
        <v/>
      </c>
    </row>
    <row r="444" spans="1:9" x14ac:dyDescent="0.2">
      <c r="A444" t="str">
        <v>INV-20250478</v>
      </c>
      <c r="B444" t="str">
        <v>Pacific Freight Lines Inc.</v>
      </c>
      <c r="C444" vm="275">
        <v>45946</v>
      </c>
      <c r="D444" vm="289">
        <v>45976</v>
      </c>
      <c r="E444">
        <v>4748.38</v>
      </c>
      <c r="F444" t="str">
        <v>USD</v>
      </c>
      <c r="G444" t="str">
        <v>Freight</v>
      </c>
      <c r="H444" t="str">
        <v>Paid</v>
      </c>
      <c r="I444" t="str">
        <v/>
      </c>
    </row>
    <row r="445" spans="1:9" x14ac:dyDescent="0.2">
      <c r="A445" t="str">
        <v>INV-20250472</v>
      </c>
      <c r="B445" t="str">
        <v>Pacific Freight Lines Inc.</v>
      </c>
      <c r="C445" vm="277">
        <v>45947</v>
      </c>
      <c r="D445" vm="306">
        <v>45977</v>
      </c>
      <c r="E445">
        <v>4475.08</v>
      </c>
      <c r="F445" t="str">
        <v>USD</v>
      </c>
      <c r="G445" t="str">
        <v>Freight</v>
      </c>
      <c r="H445" t="str">
        <v>Paid</v>
      </c>
      <c r="I445" t="str">
        <v/>
      </c>
    </row>
    <row r="446" spans="1:9" x14ac:dyDescent="0.2">
      <c r="A446" t="str">
        <v>INV-20250166</v>
      </c>
      <c r="B446" t="str">
        <v>Ironwood Hardware Supply</v>
      </c>
      <c r="C446" vm="263">
        <v>45948</v>
      </c>
      <c r="D446" vm="307">
        <v>45993</v>
      </c>
      <c r="E446">
        <v>42882.57</v>
      </c>
      <c r="F446" t="str">
        <v>USD</v>
      </c>
      <c r="G446" t="str">
        <v>Inventory</v>
      </c>
      <c r="H446" t="str">
        <v>Paid</v>
      </c>
      <c r="I446" t="str">
        <v>rush</v>
      </c>
    </row>
    <row r="447" spans="1:9" x14ac:dyDescent="0.2">
      <c r="A447" t="str">
        <v>INV-20250433</v>
      </c>
      <c r="B447" t="str">
        <v>Pacific Freight Lines Inc.</v>
      </c>
      <c r="C447" vm="264">
        <v>45949</v>
      </c>
      <c r="D447" vm="292">
        <v>45979</v>
      </c>
      <c r="E447">
        <v>4932.92</v>
      </c>
      <c r="F447" t="str">
        <v>USD</v>
      </c>
      <c r="G447" t="str">
        <v>Freight</v>
      </c>
      <c r="H447" t="str">
        <v>Paid</v>
      </c>
      <c r="I447" t="str">
        <v/>
      </c>
    </row>
    <row r="448" spans="1:9" x14ac:dyDescent="0.2">
      <c r="A448" t="str">
        <v>INV-20250064</v>
      </c>
      <c r="B448" t="str">
        <v>Northgate Marketing Group</v>
      </c>
      <c r="C448" vm="265">
        <v>45950</v>
      </c>
      <c r="D448" vm="308">
        <v>45980</v>
      </c>
      <c r="E448">
        <v>10166.49</v>
      </c>
      <c r="F448" t="str">
        <v>USD</v>
      </c>
      <c r="G448" t="str">
        <v>Marketing</v>
      </c>
      <c r="H448" t="str">
        <v>Paid</v>
      </c>
      <c r="I448" t="str">
        <v/>
      </c>
    </row>
    <row r="449" spans="1:9" x14ac:dyDescent="0.2">
      <c r="A449" t="str">
        <v>INV-20250559</v>
      </c>
      <c r="B449" t="str">
        <v>Northgate Marketing Group</v>
      </c>
      <c r="C449" vm="265">
        <v>45950</v>
      </c>
      <c r="D449" vm="308">
        <v>45980</v>
      </c>
      <c r="E449">
        <v>5928.97</v>
      </c>
      <c r="F449" t="str">
        <v>USD</v>
      </c>
      <c r="G449" t="str">
        <v>Marketing</v>
      </c>
      <c r="H449" t="str">
        <v>Paid</v>
      </c>
      <c r="I449" t="str">
        <v>partial shipment</v>
      </c>
    </row>
    <row r="450" spans="1:9" x14ac:dyDescent="0.2">
      <c r="A450" t="str">
        <v>INV-20250496</v>
      </c>
      <c r="B450" t="str">
        <v>Riverbend Fasteners Co.</v>
      </c>
      <c r="C450" vm="266">
        <v>45951</v>
      </c>
      <c r="D450" vm="309">
        <v>45996</v>
      </c>
      <c r="E450">
        <v>27238.53</v>
      </c>
      <c r="F450" t="str">
        <v>USD</v>
      </c>
      <c r="G450" t="str">
        <v>Inventory</v>
      </c>
      <c r="H450" t="str">
        <v>Overdue</v>
      </c>
      <c r="I450" t="str">
        <v>rush</v>
      </c>
    </row>
    <row r="451" spans="1:9" x14ac:dyDescent="0.2">
      <c r="A451" t="str">
        <v>INV-20250170</v>
      </c>
      <c r="B451" t="str">
        <v>Timberline Mills</v>
      </c>
      <c r="C451" vm="266">
        <v>45951</v>
      </c>
      <c r="D451" vm="309">
        <v>45996</v>
      </c>
      <c r="E451">
        <v>31376.560000000001</v>
      </c>
      <c r="F451" t="str">
        <v>USD</v>
      </c>
      <c r="G451" t="str">
        <v>Inventory</v>
      </c>
      <c r="H451" t="str">
        <v>Paid</v>
      </c>
      <c r="I451" t="str">
        <v>rush</v>
      </c>
    </row>
    <row r="452" spans="1:9" x14ac:dyDescent="0.2">
      <c r="A452" t="str">
        <v>INV-20250475</v>
      </c>
      <c r="B452" t="str">
        <v>Keller &amp; Moss CPAs</v>
      </c>
      <c r="C452" vm="266">
        <v>45951</v>
      </c>
      <c r="D452" vm="293">
        <v>45981</v>
      </c>
      <c r="E452">
        <v>8815.6</v>
      </c>
      <c r="F452" t="str">
        <v>USD</v>
      </c>
      <c r="G452" t="str">
        <v>Professional Fees</v>
      </c>
      <c r="H452" t="str">
        <v>Paid</v>
      </c>
      <c r="I452" t="str">
        <v/>
      </c>
    </row>
    <row r="453" spans="1:9" x14ac:dyDescent="0.2">
      <c r="A453" t="str">
        <v>INV-20250350</v>
      </c>
      <c r="B453" t="str">
        <v>Ironwood Hardware Supply</v>
      </c>
      <c r="C453" vm="269">
        <v>45952</v>
      </c>
      <c r="D453" vm="310">
        <v>45997</v>
      </c>
      <c r="E453">
        <v>-695.81</v>
      </c>
      <c r="F453" t="str">
        <v>USD</v>
      </c>
      <c r="G453" t="str">
        <v>Inventory</v>
      </c>
      <c r="H453" t="str">
        <v>Paid</v>
      </c>
      <c r="I453" t="str">
        <v>rush</v>
      </c>
    </row>
    <row r="454" spans="1:9" x14ac:dyDescent="0.2">
      <c r="A454" t="str">
        <v>INV-20250015</v>
      </c>
      <c r="B454" t="str">
        <v>Riverbend Fasteners Co.</v>
      </c>
      <c r="C454" vm="271">
        <v>45953</v>
      </c>
      <c r="D454" vm="311">
        <v>45998</v>
      </c>
      <c r="E454">
        <v>47696.22</v>
      </c>
      <c r="F454" t="str">
        <v>USD</v>
      </c>
      <c r="G454" t="str">
        <v>Inventory</v>
      </c>
      <c r="H454" t="str">
        <v>Paid</v>
      </c>
      <c r="I454" t="str">
        <v>approved by JM</v>
      </c>
    </row>
    <row r="455" spans="1:9" x14ac:dyDescent="0.2">
      <c r="A455" t="str">
        <v>INV-20250193</v>
      </c>
      <c r="B455" t="str">
        <v>Ironwood Hardware Supply</v>
      </c>
      <c r="C455" vm="271">
        <v>45953</v>
      </c>
      <c r="D455" vm="311">
        <v>45998</v>
      </c>
      <c r="E455">
        <v>10432.6</v>
      </c>
      <c r="F455" t="str">
        <v>USD</v>
      </c>
      <c r="G455" t="str">
        <v>Inventory</v>
      </c>
      <c r="H455" t="str">
        <v>Paid</v>
      </c>
      <c r="I455" t="str">
        <v/>
      </c>
    </row>
    <row r="456" spans="1:9" x14ac:dyDescent="0.2">
      <c r="A456" t="str">
        <v>INV-20250236</v>
      </c>
      <c r="B456" t="str">
        <v>Ironwood Hardware Supply</v>
      </c>
      <c r="C456" vm="312">
        <v>45955</v>
      </c>
      <c r="D456" vm="313">
        <v>46000</v>
      </c>
      <c r="E456">
        <v>18373.05</v>
      </c>
      <c r="F456" t="str">
        <v>USD</v>
      </c>
      <c r="G456" t="str">
        <v>Inventory</v>
      </c>
      <c r="H456" t="str">
        <v>Paid</v>
      </c>
      <c r="I456" t="str">
        <v>rush</v>
      </c>
    </row>
    <row r="457" spans="1:9" x14ac:dyDescent="0.2">
      <c r="A457" t="str">
        <v>INV-20250435</v>
      </c>
      <c r="B457" t="str">
        <v>Timberline Mills</v>
      </c>
      <c r="C457" vm="314">
        <v>45957</v>
      </c>
      <c r="D457" vm="315">
        <v>46002</v>
      </c>
      <c r="E457">
        <v>30725.040000000001</v>
      </c>
      <c r="F457" t="str">
        <v>USD</v>
      </c>
      <c r="G457" t="str">
        <v>Inventory</v>
      </c>
      <c r="H457" t="str">
        <v>Paid</v>
      </c>
      <c r="I457" t="str">
        <v>see email</v>
      </c>
    </row>
    <row r="458" spans="1:9" x14ac:dyDescent="0.2">
      <c r="A458" t="str">
        <v>INV-20250312</v>
      </c>
      <c r="B458" t="str">
        <v>Ironwood Hardware Supply</v>
      </c>
      <c r="C458" vm="273">
        <v>45958</v>
      </c>
      <c r="D458" vm="316">
        <v>46003</v>
      </c>
      <c r="E458">
        <v>37049.879999999997</v>
      </c>
      <c r="F458" t="str">
        <v>USD</v>
      </c>
      <c r="G458" t="str">
        <v>Inventory</v>
      </c>
      <c r="H458" t="str">
        <v>Overdue</v>
      </c>
      <c r="I458" t="str">
        <v/>
      </c>
    </row>
    <row r="459" spans="1:9" x14ac:dyDescent="0.2">
      <c r="A459" t="str">
        <v>INV-20250202</v>
      </c>
      <c r="B459" t="str">
        <v>Ironwood Hardware Supply</v>
      </c>
      <c r="C459" vm="276">
        <v>45962</v>
      </c>
      <c r="D459" vm="317">
        <v>46007</v>
      </c>
      <c r="E459">
        <v>32406.58</v>
      </c>
      <c r="F459" t="str">
        <v>USD</v>
      </c>
      <c r="G459" t="str">
        <v>Inventory</v>
      </c>
      <c r="H459" t="str">
        <v>Overdue</v>
      </c>
      <c r="I459" t="str">
        <v/>
      </c>
    </row>
    <row r="460" spans="1:9" x14ac:dyDescent="0.2">
      <c r="A460" t="str">
        <v>INV-20250134</v>
      </c>
      <c r="B460" t="str">
        <v>Timberline Mills</v>
      </c>
      <c r="C460" vm="290">
        <v>45963</v>
      </c>
      <c r="D460" vm="318">
        <v>46008</v>
      </c>
      <c r="E460">
        <v>10244.09</v>
      </c>
      <c r="F460" t="str">
        <v>USD</v>
      </c>
      <c r="G460" t="str">
        <v>Inventory</v>
      </c>
      <c r="H460" t="str">
        <v>Paid</v>
      </c>
      <c r="I460" t="str">
        <v/>
      </c>
    </row>
    <row r="461" spans="1:9" x14ac:dyDescent="0.2">
      <c r="A461" t="str">
        <v>INV-20250344</v>
      </c>
      <c r="B461" t="str">
        <v>Pacific Freight Lines Inc.</v>
      </c>
      <c r="C461" vm="279">
        <v>45965</v>
      </c>
      <c r="D461" vm="319">
        <v>45995</v>
      </c>
      <c r="E461">
        <v>1542.06</v>
      </c>
      <c r="F461" t="str">
        <v>USD</v>
      </c>
      <c r="G461" t="str">
        <v>Freight</v>
      </c>
      <c r="H461" t="str">
        <v>Paid</v>
      </c>
      <c r="I461" t="str">
        <v>rush</v>
      </c>
    </row>
    <row r="462" spans="1:9" x14ac:dyDescent="0.2">
      <c r="A462" t="str">
        <v>INV-20250125</v>
      </c>
      <c r="B462" t="str">
        <v>Pacific Freight Lines Inc.</v>
      </c>
      <c r="C462" vm="279">
        <v>45965</v>
      </c>
      <c r="D462" vm="319">
        <v>45995</v>
      </c>
      <c r="E462">
        <v>909.33</v>
      </c>
      <c r="F462" t="str">
        <v>USD</v>
      </c>
      <c r="G462" t="str">
        <v>Freight</v>
      </c>
      <c r="H462" t="str">
        <v>Overdue</v>
      </c>
      <c r="I462" t="str">
        <v/>
      </c>
    </row>
    <row r="463" spans="1:9" x14ac:dyDescent="0.2">
      <c r="A463" t="str">
        <v>INV-20250052</v>
      </c>
      <c r="B463" t="str">
        <v>Northgate Marketing Group</v>
      </c>
      <c r="C463" vm="280">
        <v>45968</v>
      </c>
      <c r="D463" vm="311">
        <v>45998</v>
      </c>
      <c r="E463">
        <v>10438.5</v>
      </c>
      <c r="F463" t="str">
        <v>USD</v>
      </c>
      <c r="G463" t="str">
        <v>Marketing</v>
      </c>
      <c r="H463" t="str">
        <v>Paid</v>
      </c>
      <c r="I463" t="str">
        <v/>
      </c>
    </row>
    <row r="464" spans="1:9" x14ac:dyDescent="0.2">
      <c r="A464" t="str">
        <v>INV-20250143</v>
      </c>
      <c r="B464" t="str">
        <v>Timberline Mills</v>
      </c>
      <c r="C464" vm="280">
        <v>45968</v>
      </c>
      <c r="D464" vm="320">
        <v>46013</v>
      </c>
      <c r="E464">
        <v>18919.060000000001</v>
      </c>
      <c r="F464" t="str">
        <v>USD</v>
      </c>
      <c r="G464" t="str">
        <v>Inventory</v>
      </c>
      <c r="H464" t="str">
        <v>Paid</v>
      </c>
      <c r="I464" t="str">
        <v/>
      </c>
    </row>
    <row r="465" spans="1:9" x14ac:dyDescent="0.2">
      <c r="A465" t="str">
        <v>INV-20250318</v>
      </c>
      <c r="B465" t="str">
        <v>Northgate Marketing Group</v>
      </c>
      <c r="C465" vm="280">
        <v>45968</v>
      </c>
      <c r="D465" vm="311">
        <v>45998</v>
      </c>
      <c r="E465">
        <v>-1189.92</v>
      </c>
      <c r="F465" t="str">
        <v>USD</v>
      </c>
      <c r="G465" t="str">
        <v>Marketing</v>
      </c>
      <c r="H465" t="str">
        <v>Paid</v>
      </c>
      <c r="I465" t="str">
        <v>approved by JM</v>
      </c>
    </row>
    <row r="466" spans="1:9" x14ac:dyDescent="0.2">
      <c r="A466" t="str">
        <v>INV-20250320</v>
      </c>
      <c r="B466" t="str">
        <v>Riverbend Fasteners Co.</v>
      </c>
      <c r="C466" vm="321">
        <v>45969</v>
      </c>
      <c r="D466" vm="322">
        <v>46014</v>
      </c>
      <c r="E466">
        <v>46392.6</v>
      </c>
      <c r="F466" t="str">
        <v>USD</v>
      </c>
      <c r="G466" t="str">
        <v>Inventory</v>
      </c>
      <c r="H466" t="str">
        <v>Paid</v>
      </c>
      <c r="I466" t="str">
        <v/>
      </c>
    </row>
    <row r="467" spans="1:9" x14ac:dyDescent="0.2">
      <c r="A467" t="str">
        <v>INV-20250205</v>
      </c>
      <c r="B467" t="str">
        <v>Northgate Marketing Group</v>
      </c>
      <c r="C467" vm="321">
        <v>45969</v>
      </c>
      <c r="D467" vm="323">
        <v>45999</v>
      </c>
      <c r="E467">
        <v>12461.75</v>
      </c>
      <c r="F467" t="str">
        <v>USD</v>
      </c>
      <c r="G467" t="str">
        <v>Marketing</v>
      </c>
      <c r="H467" t="str">
        <v>Paid</v>
      </c>
      <c r="I467" t="str">
        <v>approved by JM</v>
      </c>
    </row>
    <row r="468" spans="1:9" x14ac:dyDescent="0.2">
      <c r="A468" t="str">
        <v>INV-20250173</v>
      </c>
      <c r="B468" t="str">
        <v>Timberline Mills</v>
      </c>
      <c r="C468" vm="321">
        <v>45969</v>
      </c>
      <c r="D468" vm="322">
        <v>46014</v>
      </c>
      <c r="E468">
        <v>44751.38</v>
      </c>
      <c r="F468" t="str">
        <v>USD</v>
      </c>
      <c r="G468" t="str">
        <v>Inventory</v>
      </c>
      <c r="H468" t="str">
        <v>Paid</v>
      </c>
      <c r="I468" t="str">
        <v/>
      </c>
    </row>
    <row r="469" spans="1:9" x14ac:dyDescent="0.2">
      <c r="A469" t="str">
        <v>INV-20250048</v>
      </c>
      <c r="B469" t="str">
        <v>Pacific Freight Lines Inc.</v>
      </c>
      <c r="C469" vm="321">
        <v>45969</v>
      </c>
      <c r="D469" vm="323">
        <v>45999</v>
      </c>
      <c r="E469">
        <v>931.85</v>
      </c>
      <c r="F469" t="str">
        <v>USD</v>
      </c>
      <c r="G469" t="str">
        <v>Freight</v>
      </c>
      <c r="H469" t="str">
        <v>Paid</v>
      </c>
      <c r="I469" t="str">
        <v>see email</v>
      </c>
    </row>
    <row r="470" spans="1:9" x14ac:dyDescent="0.2">
      <c r="A470" t="str">
        <v>INV-20250269</v>
      </c>
      <c r="B470" t="str">
        <v>Pacific Freight Lines Inc.</v>
      </c>
      <c r="C470" vm="282">
        <v>45970</v>
      </c>
      <c r="D470" vm="313">
        <v>46000</v>
      </c>
      <c r="E470">
        <v>8118.2</v>
      </c>
      <c r="F470" t="str">
        <v>USD</v>
      </c>
      <c r="G470" t="str">
        <v>Freight</v>
      </c>
      <c r="H470" t="str">
        <v>Paid</v>
      </c>
      <c r="I470" t="str">
        <v/>
      </c>
    </row>
    <row r="471" spans="1:9" x14ac:dyDescent="0.2">
      <c r="A471" t="str">
        <v>INV-20250037</v>
      </c>
      <c r="B471" t="str">
        <v>Riverbend Fasteners Co.</v>
      </c>
      <c r="C471" vm="282">
        <v>45970</v>
      </c>
      <c r="D471" vm="324">
        <v>46015</v>
      </c>
      <c r="E471">
        <v>40979.160000000003</v>
      </c>
      <c r="F471" t="str">
        <v>USD</v>
      </c>
      <c r="G471" t="str">
        <v>Inventory</v>
      </c>
      <c r="H471" t="str">
        <v>Overdue</v>
      </c>
      <c r="I471" t="str">
        <v>rush</v>
      </c>
    </row>
    <row r="472" spans="1:9" x14ac:dyDescent="0.2">
      <c r="A472" t="str">
        <v>INV-20250513</v>
      </c>
      <c r="B472" t="str">
        <v>Ironwood Hardware Supply</v>
      </c>
      <c r="C472" vm="282">
        <v>45970</v>
      </c>
      <c r="D472" vm="324">
        <v>46015</v>
      </c>
      <c r="E472">
        <v>33874.400000000001</v>
      </c>
      <c r="F472" t="str">
        <v>USD</v>
      </c>
      <c r="G472" t="str">
        <v>Inventory</v>
      </c>
      <c r="H472" t="str">
        <v>Paid</v>
      </c>
      <c r="I472" t="str">
        <v>approved by JM</v>
      </c>
    </row>
    <row r="473" spans="1:9" x14ac:dyDescent="0.2">
      <c r="A473" t="str">
        <v>INV-20250026</v>
      </c>
      <c r="B473" t="str">
        <v>Ironwood Hardware Supply</v>
      </c>
      <c r="C473" vm="284">
        <v>45972</v>
      </c>
      <c r="D473" vm="325">
        <v>46017</v>
      </c>
      <c r="E473">
        <v>5122.04</v>
      </c>
      <c r="F473" t="str">
        <v>USD</v>
      </c>
      <c r="G473" t="str">
        <v>Inventory</v>
      </c>
      <c r="H473" t="str">
        <v>Overdue</v>
      </c>
      <c r="I473" t="str">
        <v>see email</v>
      </c>
    </row>
    <row r="474" spans="1:9" x14ac:dyDescent="0.2">
      <c r="A474" t="str">
        <v>INV-20250516</v>
      </c>
      <c r="B474" t="str">
        <v>BlueRiver Software</v>
      </c>
      <c r="C474" vm="284">
        <v>45972</v>
      </c>
      <c r="D474" vm="299">
        <v>45987</v>
      </c>
      <c r="E474">
        <v>1862.32</v>
      </c>
      <c r="F474" t="str">
        <v>EUR</v>
      </c>
      <c r="G474" t="str">
        <v>Software</v>
      </c>
      <c r="H474" t="str">
        <v>Paid</v>
      </c>
      <c r="I474" t="str">
        <v/>
      </c>
    </row>
    <row r="475" spans="1:9" x14ac:dyDescent="0.2">
      <c r="A475" t="str">
        <v>INV-20250196</v>
      </c>
      <c r="B475" t="str">
        <v>Ironwood Hardware Supply</v>
      </c>
      <c r="C475" vm="326">
        <v>45973</v>
      </c>
      <c r="D475" vm="327">
        <v>46018</v>
      </c>
      <c r="E475">
        <v>31527.19</v>
      </c>
      <c r="F475" t="str">
        <v>USD</v>
      </c>
      <c r="G475" t="str">
        <v>Inventory</v>
      </c>
      <c r="H475" t="str">
        <v>Overdue</v>
      </c>
      <c r="I475" t="str">
        <v/>
      </c>
    </row>
    <row r="476" spans="1:9" x14ac:dyDescent="0.2">
      <c r="A476" t="str">
        <v>INV-20250239</v>
      </c>
      <c r="B476" t="str">
        <v>Riverbend Fasteners Co.</v>
      </c>
      <c r="C476" vm="286">
        <v>45974</v>
      </c>
      <c r="D476" vm="328">
        <v>46019</v>
      </c>
      <c r="E476">
        <v>10802.15</v>
      </c>
      <c r="F476" t="str">
        <v>USD</v>
      </c>
      <c r="G476" t="str">
        <v>Inventory</v>
      </c>
      <c r="H476" t="str">
        <v>Paid</v>
      </c>
      <c r="I476" t="str">
        <v>rush</v>
      </c>
    </row>
    <row r="477" spans="1:9" x14ac:dyDescent="0.2">
      <c r="A477" t="str">
        <v>INV-20250367</v>
      </c>
      <c r="B477" t="str">
        <v>Riverbend Fasteners Co.</v>
      </c>
      <c r="C477" vm="288">
        <v>45975</v>
      </c>
      <c r="D477" vm="329">
        <v>46020</v>
      </c>
      <c r="E477">
        <v>15693.97</v>
      </c>
      <c r="F477" t="str">
        <v>USD</v>
      </c>
      <c r="G477" t="str">
        <v>Inventory</v>
      </c>
      <c r="H477" t="str">
        <v>Overdue</v>
      </c>
      <c r="I477" t="str">
        <v>rush</v>
      </c>
    </row>
    <row r="478" spans="1:9" x14ac:dyDescent="0.2">
      <c r="A478" t="str">
        <v>INV-20250174</v>
      </c>
      <c r="B478" t="str">
        <v>Pacific Freight Lines Inc.</v>
      </c>
      <c r="C478" vm="288">
        <v>45975</v>
      </c>
      <c r="D478" vm="330">
        <v>46005</v>
      </c>
      <c r="E478">
        <v>4176.32</v>
      </c>
      <c r="F478" t="str">
        <v>USD</v>
      </c>
      <c r="G478" t="str">
        <v>Freight</v>
      </c>
      <c r="H478" t="str">
        <v>Overdue</v>
      </c>
      <c r="I478" t="str">
        <v/>
      </c>
    </row>
    <row r="479" spans="1:9" x14ac:dyDescent="0.2">
      <c r="A479" t="str">
        <v>INV-20250304</v>
      </c>
      <c r="B479" t="str">
        <v>Timberline Mills</v>
      </c>
      <c r="C479" vm="289">
        <v>45976</v>
      </c>
      <c r="D479" vm="331">
        <v>46021</v>
      </c>
      <c r="E479">
        <v>46853.85</v>
      </c>
      <c r="F479" t="str">
        <v>USD</v>
      </c>
      <c r="G479" t="str">
        <v>Inventory</v>
      </c>
      <c r="H479" t="str">
        <v>Overdue</v>
      </c>
      <c r="I479" t="str">
        <v/>
      </c>
    </row>
    <row r="480" spans="1:9" x14ac:dyDescent="0.2">
      <c r="A480" t="str">
        <v>INV-20250368</v>
      </c>
      <c r="B480" t="str">
        <v>Timberline Mills</v>
      </c>
      <c r="C480" vm="289">
        <v>45976</v>
      </c>
      <c r="D480" vm="331">
        <v>46021</v>
      </c>
      <c r="E480">
        <v>8422.18</v>
      </c>
      <c r="F480" t="str">
        <v>USD</v>
      </c>
      <c r="G480" t="str">
        <v>Inventory</v>
      </c>
      <c r="H480" t="str">
        <v>Paid</v>
      </c>
      <c r="I480" t="str">
        <v/>
      </c>
    </row>
    <row r="481" spans="1:9" x14ac:dyDescent="0.2">
      <c r="A481" t="str">
        <v>INV-20250508</v>
      </c>
      <c r="B481" t="str">
        <v>Pacific Freight Lines Inc.</v>
      </c>
      <c r="C481" vm="291">
        <v>45978</v>
      </c>
      <c r="D481" vm="318">
        <v>46008</v>
      </c>
      <c r="E481">
        <v>3071.21</v>
      </c>
      <c r="F481" t="str">
        <v>USD</v>
      </c>
      <c r="G481" t="str">
        <v>Freight</v>
      </c>
      <c r="H481" t="str">
        <v>Paid</v>
      </c>
      <c r="I481" t="str">
        <v>approved by JM</v>
      </c>
    </row>
    <row r="482" spans="1:9" x14ac:dyDescent="0.2">
      <c r="A482" t="str">
        <v>INV-20250439</v>
      </c>
      <c r="B482" t="str">
        <v>Riverbend Fasteners Co.</v>
      </c>
      <c r="C482" vm="291">
        <v>45978</v>
      </c>
      <c r="D482" vm="332">
        <v>46023</v>
      </c>
      <c r="E482">
        <v>23922.34</v>
      </c>
      <c r="F482" t="str">
        <v>USD</v>
      </c>
      <c r="G482" t="str">
        <v>Inventory</v>
      </c>
      <c r="H482" t="str">
        <v>Open</v>
      </c>
      <c r="I482" t="str">
        <v/>
      </c>
    </row>
    <row r="483" spans="1:9" x14ac:dyDescent="0.2">
      <c r="A483" t="str">
        <v>INV-20250278</v>
      </c>
      <c r="B483" t="str">
        <v>BlueRiver Software</v>
      </c>
      <c r="C483" vm="291">
        <v>45978</v>
      </c>
      <c r="D483" vm="307">
        <v>45993</v>
      </c>
      <c r="E483">
        <v>579.17999999999995</v>
      </c>
      <c r="F483" t="str">
        <v>USD</v>
      </c>
      <c r="G483" t="str">
        <v>Software</v>
      </c>
      <c r="H483" t="str">
        <v>Paid</v>
      </c>
      <c r="I483" t="str">
        <v/>
      </c>
    </row>
    <row r="484" spans="1:9" x14ac:dyDescent="0.2">
      <c r="A484" t="str">
        <v>INV-20250088</v>
      </c>
      <c r="B484" t="str">
        <v>Timberline Mills</v>
      </c>
      <c r="C484" vm="291">
        <v>45978</v>
      </c>
      <c r="D484" vm="332">
        <v>46023</v>
      </c>
      <c r="E484">
        <v>27383.53</v>
      </c>
      <c r="F484" t="str">
        <v>USD</v>
      </c>
      <c r="G484" t="str">
        <v>Inventory</v>
      </c>
      <c r="H484" t="str">
        <v>Open</v>
      </c>
      <c r="I484" t="str">
        <v/>
      </c>
    </row>
    <row r="485" spans="1:9" x14ac:dyDescent="0.2">
      <c r="A485" t="str">
        <v>INV-20250004</v>
      </c>
      <c r="B485" t="str">
        <v>Riverbend Fasteners Co.</v>
      </c>
      <c r="C485" vm="292">
        <v>45979</v>
      </c>
      <c r="D485" vm="333">
        <v>46024</v>
      </c>
      <c r="E485">
        <v>29651.86</v>
      </c>
      <c r="F485" t="str">
        <v>USD</v>
      </c>
      <c r="G485" t="str">
        <v>Inventory</v>
      </c>
      <c r="H485" t="str">
        <v>Open</v>
      </c>
      <c r="I485" t="str">
        <v/>
      </c>
    </row>
    <row r="486" spans="1:9" x14ac:dyDescent="0.2">
      <c r="A486" t="str">
        <v>INV-20250430</v>
      </c>
      <c r="B486" t="str">
        <v>Ironwood Hardware Supply</v>
      </c>
      <c r="C486" vm="292">
        <v>45979</v>
      </c>
      <c r="D486" vm="333">
        <v>46024</v>
      </c>
      <c r="E486">
        <v>8298.7099999999991</v>
      </c>
      <c r="F486" t="str">
        <v>USD</v>
      </c>
      <c r="G486" t="str">
        <v>Inventory</v>
      </c>
      <c r="H486" t="str">
        <v>Open</v>
      </c>
      <c r="I486" t="str">
        <v/>
      </c>
    </row>
    <row r="487" spans="1:9" x14ac:dyDescent="0.2">
      <c r="A487" t="str">
        <v>INV-20250192</v>
      </c>
      <c r="B487" t="str">
        <v>Keller &amp; Moss CPAs</v>
      </c>
      <c r="C487" vm="308">
        <v>45980</v>
      </c>
      <c r="D487" vm="334">
        <v>46010</v>
      </c>
      <c r="E487">
        <v>10494.29</v>
      </c>
      <c r="F487" t="str">
        <v>USD</v>
      </c>
      <c r="G487" t="str">
        <v>Professional Fees</v>
      </c>
      <c r="H487" t="str">
        <v>Overdue</v>
      </c>
      <c r="I487" t="str">
        <v/>
      </c>
    </row>
    <row r="488" spans="1:9" x14ac:dyDescent="0.2">
      <c r="A488" t="str">
        <v>INV-20250107</v>
      </c>
      <c r="B488" t="str">
        <v>Timberline Mills</v>
      </c>
      <c r="C488" vm="293">
        <v>45981</v>
      </c>
      <c r="D488" vm="335">
        <v>46026</v>
      </c>
      <c r="E488">
        <v>21601.83</v>
      </c>
      <c r="F488" t="str">
        <v>USD</v>
      </c>
      <c r="G488" t="str">
        <v>Inventory</v>
      </c>
      <c r="H488" t="str">
        <v>Open</v>
      </c>
      <c r="I488" t="str">
        <v/>
      </c>
    </row>
    <row r="489" spans="1:9" x14ac:dyDescent="0.2">
      <c r="A489" t="str">
        <v>INV-20250287</v>
      </c>
      <c r="B489" t="str">
        <v>Riverbend Fasteners Co.</v>
      </c>
      <c r="C489" vm="294">
        <v>45982</v>
      </c>
      <c r="D489" vm="336">
        <v>46027</v>
      </c>
      <c r="E489">
        <v>24146.69</v>
      </c>
      <c r="F489" t="str">
        <v>USD</v>
      </c>
      <c r="G489" t="str">
        <v>Inventory</v>
      </c>
      <c r="H489" t="str">
        <v>Open</v>
      </c>
      <c r="I489" t="str">
        <v/>
      </c>
    </row>
    <row r="490" spans="1:9" x14ac:dyDescent="0.2">
      <c r="A490" t="str">
        <v>INV-20250024</v>
      </c>
      <c r="B490" t="str">
        <v>Northgate Marketing Group</v>
      </c>
      <c r="C490" vm="294">
        <v>45982</v>
      </c>
      <c r="D490" vm="337">
        <v>46012</v>
      </c>
      <c r="E490">
        <v>8706.86</v>
      </c>
      <c r="F490" t="str">
        <v>USD</v>
      </c>
      <c r="G490" t="str">
        <v>Marketing</v>
      </c>
      <c r="H490" t="str">
        <v>Paid</v>
      </c>
      <c r="I490" t="str">
        <v/>
      </c>
    </row>
    <row r="491" spans="1:9" x14ac:dyDescent="0.2">
      <c r="A491" t="str">
        <v>INV-20250366</v>
      </c>
      <c r="B491" t="str">
        <v>Harbor Light Utilities</v>
      </c>
      <c r="C491" vm="294">
        <v>45982</v>
      </c>
      <c r="D491" vm="310">
        <v>45997</v>
      </c>
      <c r="E491">
        <v>1912.23</v>
      </c>
      <c r="F491" t="str">
        <v>USD</v>
      </c>
      <c r="G491" t="str">
        <v>Utilities</v>
      </c>
      <c r="H491" t="str">
        <v>Overdue</v>
      </c>
      <c r="I491" t="str">
        <v>see email</v>
      </c>
    </row>
    <row r="492" spans="1:9" x14ac:dyDescent="0.2">
      <c r="A492" t="str">
        <v>INV-20250360</v>
      </c>
      <c r="B492" t="str">
        <v>Timberline Mills</v>
      </c>
      <c r="C492" vm="295">
        <v>45983</v>
      </c>
      <c r="D492" vm="338">
        <v>46028</v>
      </c>
      <c r="E492">
        <v>21104.77</v>
      </c>
      <c r="F492" t="str">
        <v>USD</v>
      </c>
      <c r="G492" t="str">
        <v>Inventory</v>
      </c>
      <c r="H492" t="str">
        <v>Paid</v>
      </c>
      <c r="I492" t="str">
        <v>approved by JM</v>
      </c>
    </row>
    <row r="493" spans="1:9" x14ac:dyDescent="0.2">
      <c r="A493" t="str">
        <v>INV-20250074</v>
      </c>
      <c r="B493" t="str">
        <v>Riverbend Fasteners Co.</v>
      </c>
      <c r="C493" vm="295">
        <v>45983</v>
      </c>
      <c r="D493" vm="338">
        <v>46028</v>
      </c>
      <c r="E493">
        <v>10147.629999999999</v>
      </c>
      <c r="F493" t="str">
        <v>USD</v>
      </c>
      <c r="G493" t="str">
        <v>Inventory</v>
      </c>
      <c r="H493" t="str">
        <v>Paid</v>
      </c>
      <c r="I493" t="str">
        <v>rush</v>
      </c>
    </row>
    <row r="494" spans="1:9" x14ac:dyDescent="0.2">
      <c r="A494" t="str">
        <v>INV-20250182</v>
      </c>
      <c r="B494" t="str">
        <v>Timberline Mills</v>
      </c>
      <c r="C494" vm="295">
        <v>45983</v>
      </c>
      <c r="D494" vm="338">
        <v>46028</v>
      </c>
      <c r="E494">
        <v>9731.92</v>
      </c>
      <c r="F494" t="str">
        <v>USD</v>
      </c>
      <c r="G494" t="str">
        <v>Inventory</v>
      </c>
      <c r="H494" t="str">
        <v>Open</v>
      </c>
      <c r="I494" t="str">
        <v/>
      </c>
    </row>
    <row r="495" spans="1:9" x14ac:dyDescent="0.2">
      <c r="A495" t="str">
        <v>INV-20250270</v>
      </c>
      <c r="B495" t="str">
        <v>Keller &amp; Moss CPAs</v>
      </c>
      <c r="C495" vm="295">
        <v>45983</v>
      </c>
      <c r="D495" vm="320">
        <v>46013</v>
      </c>
      <c r="E495">
        <v>10307.43</v>
      </c>
      <c r="F495" t="str">
        <v>USD</v>
      </c>
      <c r="G495" t="str">
        <v>Professional Fees</v>
      </c>
      <c r="H495" t="str">
        <v>Paid</v>
      </c>
      <c r="I495" t="str">
        <v/>
      </c>
    </row>
    <row r="496" spans="1:9" x14ac:dyDescent="0.2">
      <c r="A496" t="str">
        <v>INV-20250527</v>
      </c>
      <c r="B496" t="str">
        <v>Pacific Freight Lines Inc.</v>
      </c>
      <c r="C496" vm="295">
        <v>45983</v>
      </c>
      <c r="D496" vm="320">
        <v>46013</v>
      </c>
      <c r="E496">
        <v>8290.06</v>
      </c>
      <c r="F496" t="str">
        <v>USD</v>
      </c>
      <c r="G496" t="str">
        <v>Freight</v>
      </c>
      <c r="H496" t="str">
        <v>Overdue</v>
      </c>
      <c r="I496" t="str">
        <v/>
      </c>
    </row>
    <row r="497" spans="1:9" x14ac:dyDescent="0.2">
      <c r="A497" t="str">
        <v>INV-20250399</v>
      </c>
      <c r="B497" t="str">
        <v>Riverbend Fasteners Co.</v>
      </c>
      <c r="C497" vm="295">
        <v>45983</v>
      </c>
      <c r="D497" vm="338">
        <v>46028</v>
      </c>
      <c r="E497">
        <v>35806.050000000003</v>
      </c>
      <c r="F497" t="str">
        <v>EUR</v>
      </c>
      <c r="G497" t="str">
        <v>Inventory</v>
      </c>
      <c r="H497" t="str">
        <v>Open</v>
      </c>
      <c r="I497" t="str">
        <v/>
      </c>
    </row>
    <row r="498" spans="1:9" x14ac:dyDescent="0.2">
      <c r="A498" t="str">
        <v>INV-20250356</v>
      </c>
      <c r="B498" t="str">
        <v>Riverbend Fasteners Co.</v>
      </c>
      <c r="C498" vm="296">
        <v>45984</v>
      </c>
      <c r="D498" vm="339">
        <v>46029</v>
      </c>
      <c r="E498">
        <v>29365.23</v>
      </c>
      <c r="F498" t="str">
        <v>USD</v>
      </c>
      <c r="G498" t="str">
        <v>Inventory</v>
      </c>
      <c r="H498" t="str">
        <v>Open</v>
      </c>
      <c r="I498" t="str">
        <v>partial shipment</v>
      </c>
    </row>
    <row r="499" spans="1:9" x14ac:dyDescent="0.2">
      <c r="A499" t="str">
        <v>INV-20250253</v>
      </c>
      <c r="B499" t="str">
        <v>Timberline Mills</v>
      </c>
      <c r="C499" vm="340">
        <v>45985</v>
      </c>
      <c r="D499" vm="341">
        <v>46030</v>
      </c>
      <c r="E499">
        <v>38872.94</v>
      </c>
      <c r="F499" t="str">
        <v>USD</v>
      </c>
      <c r="G499" t="str">
        <v>Inventory</v>
      </c>
      <c r="H499" t="str">
        <v>Open</v>
      </c>
      <c r="I499" t="str">
        <v/>
      </c>
    </row>
    <row r="500" spans="1:9" x14ac:dyDescent="0.2">
      <c r="A500" t="str">
        <v>INV-20250167</v>
      </c>
      <c r="B500" t="str">
        <v>Ironwood Hardware Supply</v>
      </c>
      <c r="C500" vm="299">
        <v>45987</v>
      </c>
      <c r="D500" vm="342">
        <v>46032</v>
      </c>
      <c r="E500">
        <v>12676.87</v>
      </c>
      <c r="F500" t="str">
        <v>EUR</v>
      </c>
      <c r="G500" t="str">
        <v>Inventory</v>
      </c>
      <c r="H500" t="str">
        <v>Open</v>
      </c>
      <c r="I500" t="str">
        <v/>
      </c>
    </row>
    <row r="501" spans="1:9" x14ac:dyDescent="0.2">
      <c r="A501" t="str">
        <v>INV-20250126</v>
      </c>
      <c r="B501" t="str">
        <v>Ironwood Hardware Supply</v>
      </c>
      <c r="C501" vm="301">
        <v>45988</v>
      </c>
      <c r="D501" vm="343">
        <v>46033</v>
      </c>
      <c r="E501">
        <v>40934.089999999997</v>
      </c>
      <c r="F501" t="str">
        <v>USD</v>
      </c>
      <c r="G501" t="str">
        <v>Inventory</v>
      </c>
      <c r="H501" t="str">
        <v>Open</v>
      </c>
      <c r="I501" t="str">
        <v>approved by JM</v>
      </c>
    </row>
    <row r="502" spans="1:9" x14ac:dyDescent="0.2">
      <c r="A502" t="str">
        <v>INV-20250223</v>
      </c>
      <c r="B502" t="str">
        <v>Timberline Mills</v>
      </c>
      <c r="C502" vm="301">
        <v>45988</v>
      </c>
      <c r="D502" vm="343">
        <v>46033</v>
      </c>
      <c r="E502">
        <v>13019.71</v>
      </c>
      <c r="F502" t="str">
        <v>EUR</v>
      </c>
      <c r="G502" t="str">
        <v>Inventory</v>
      </c>
      <c r="H502" t="str">
        <v>Open</v>
      </c>
      <c r="I502" t="str">
        <v/>
      </c>
    </row>
    <row r="503" spans="1:9" x14ac:dyDescent="0.2">
      <c r="A503" t="str">
        <v>INV-20250520</v>
      </c>
      <c r="B503" t="str">
        <v>Timberline Mills</v>
      </c>
      <c r="C503" vm="303">
        <v>45989</v>
      </c>
      <c r="D503" vm="344">
        <v>46034</v>
      </c>
      <c r="E503">
        <v>17607.12</v>
      </c>
      <c r="F503" t="str">
        <v>USD</v>
      </c>
      <c r="G503" t="str">
        <v>Inventory</v>
      </c>
      <c r="H503" t="str">
        <v>Paid</v>
      </c>
      <c r="I503" t="str">
        <v>approved by JM</v>
      </c>
    </row>
    <row r="504" spans="1:9" x14ac:dyDescent="0.2">
      <c r="A504" t="str">
        <v>INV-20250128</v>
      </c>
      <c r="B504" t="str">
        <v>Riverbend Fasteners Co.</v>
      </c>
      <c r="C504" vm="303">
        <v>45989</v>
      </c>
      <c r="D504" vm="344">
        <v>46034</v>
      </c>
      <c r="E504">
        <v>22480.7</v>
      </c>
      <c r="F504" t="str">
        <v>USD</v>
      </c>
      <c r="G504" t="str">
        <v>Inventory</v>
      </c>
      <c r="H504" t="str">
        <v>Open</v>
      </c>
      <c r="I504" t="str">
        <v>partial shipment</v>
      </c>
    </row>
    <row r="505" spans="1:9" x14ac:dyDescent="0.2">
      <c r="A505" t="str">
        <v>INV-20250156</v>
      </c>
      <c r="B505" t="str">
        <v>Pacific Freight Lines Inc.</v>
      </c>
      <c r="C505" vm="304">
        <v>45990</v>
      </c>
      <c r="D505" vm="329">
        <v>46020</v>
      </c>
      <c r="E505">
        <v>7448.39</v>
      </c>
      <c r="F505" t="str">
        <v>USD</v>
      </c>
      <c r="G505" t="str">
        <v>Freight</v>
      </c>
      <c r="H505" t="str">
        <v>Paid</v>
      </c>
      <c r="I505" t="str">
        <v>partial shipment</v>
      </c>
    </row>
    <row r="506" spans="1:9" x14ac:dyDescent="0.2">
      <c r="A506" t="str">
        <v>INV-20250091</v>
      </c>
      <c r="B506" t="str">
        <v>Pacific Freight Lines Inc.</v>
      </c>
      <c r="C506" vm="304">
        <v>45990</v>
      </c>
      <c r="D506" vm="329">
        <v>46020</v>
      </c>
      <c r="E506">
        <v>8803.4500000000007</v>
      </c>
      <c r="F506" t="str">
        <v>USD</v>
      </c>
      <c r="G506" t="str">
        <v>Freight</v>
      </c>
      <c r="H506" t="str">
        <v>Overdue</v>
      </c>
      <c r="I506" t="str">
        <v>see email</v>
      </c>
    </row>
    <row r="507" spans="1:9" x14ac:dyDescent="0.2">
      <c r="A507" t="str">
        <v>INV-20250043</v>
      </c>
      <c r="B507" t="str">
        <v>Timberline Mills</v>
      </c>
      <c r="C507" vm="304">
        <v>45990</v>
      </c>
      <c r="D507" vm="345">
        <v>46035</v>
      </c>
      <c r="E507">
        <v>8521.9699999999993</v>
      </c>
      <c r="F507" t="str">
        <v>USD</v>
      </c>
      <c r="G507" t="str">
        <v>Inventory</v>
      </c>
      <c r="H507" t="str">
        <v>Open</v>
      </c>
      <c r="I507" t="str">
        <v>partial shipment</v>
      </c>
    </row>
    <row r="508" spans="1:9" x14ac:dyDescent="0.2">
      <c r="A508" t="str">
        <v>INV-20250454</v>
      </c>
      <c r="B508" t="str">
        <v>Ironwood Hardware Supply</v>
      </c>
      <c r="C508" vm="346">
        <v>45992</v>
      </c>
      <c r="D508" vm="347">
        <v>46037</v>
      </c>
      <c r="E508">
        <v>14823.49</v>
      </c>
      <c r="F508" t="str">
        <v>USD</v>
      </c>
      <c r="G508" t="str">
        <v>Inventory</v>
      </c>
      <c r="H508" t="str">
        <v>Open</v>
      </c>
      <c r="I508" t="str">
        <v/>
      </c>
    </row>
    <row r="509" spans="1:9" x14ac:dyDescent="0.2">
      <c r="A509" t="str">
        <v>INV-20250246</v>
      </c>
      <c r="B509" t="str">
        <v>Riverbend Fasteners Co.</v>
      </c>
      <c r="C509" vm="346">
        <v>45992</v>
      </c>
      <c r="D509" vm="347">
        <v>46037</v>
      </c>
      <c r="E509">
        <v>42723.4</v>
      </c>
      <c r="F509" t="str">
        <v>USD</v>
      </c>
      <c r="G509" t="str">
        <v>Inventory</v>
      </c>
      <c r="H509" t="str">
        <v>Open</v>
      </c>
      <c r="I509" t="str">
        <v/>
      </c>
    </row>
    <row r="510" spans="1:9" x14ac:dyDescent="0.2">
      <c r="A510" t="str">
        <v>INV-20250250</v>
      </c>
      <c r="B510" t="str">
        <v>Pacific Freight Lines Inc.</v>
      </c>
      <c r="C510" vm="307">
        <v>45993</v>
      </c>
      <c r="D510" vm="332">
        <v>46023</v>
      </c>
      <c r="E510">
        <v>-1023.46</v>
      </c>
      <c r="F510" t="str">
        <v>USD</v>
      </c>
      <c r="G510" t="str">
        <v>Freight</v>
      </c>
      <c r="H510" t="str">
        <v>Paid</v>
      </c>
      <c r="I510" t="str">
        <v>rush</v>
      </c>
    </row>
    <row r="511" spans="1:9" x14ac:dyDescent="0.2">
      <c r="A511" t="str">
        <v>INV-20250267</v>
      </c>
      <c r="B511" t="str">
        <v>Timberline Mills</v>
      </c>
      <c r="C511" vm="307">
        <v>45993</v>
      </c>
      <c r="D511" vm="348">
        <v>46038</v>
      </c>
      <c r="E511">
        <v>16891.66</v>
      </c>
      <c r="F511" t="str">
        <v>USD</v>
      </c>
      <c r="G511" t="str">
        <v>Inventory</v>
      </c>
      <c r="H511" t="str">
        <v>Open</v>
      </c>
      <c r="I511" t="str">
        <v>partial shipment</v>
      </c>
    </row>
    <row r="512" spans="1:9" x14ac:dyDescent="0.2">
      <c r="A512" t="str">
        <v>INV-20250082</v>
      </c>
      <c r="B512" t="str">
        <v>Timberline Mills</v>
      </c>
      <c r="C512" vm="349">
        <v>45994</v>
      </c>
      <c r="D512" vm="350">
        <v>46039</v>
      </c>
      <c r="E512">
        <v>43283.25</v>
      </c>
      <c r="F512" t="str">
        <v>USD</v>
      </c>
      <c r="G512" t="str">
        <v>Inventory</v>
      </c>
      <c r="H512" t="str">
        <v>Open</v>
      </c>
      <c r="I512" t="str">
        <v>approved by JM</v>
      </c>
    </row>
    <row r="513" spans="1:9" x14ac:dyDescent="0.2">
      <c r="A513" t="str">
        <v>INV-20250530</v>
      </c>
      <c r="B513" t="str">
        <v>Ironwood Hardware Supply</v>
      </c>
      <c r="C513" vm="349">
        <v>45994</v>
      </c>
      <c r="D513" vm="350">
        <v>46039</v>
      </c>
      <c r="E513">
        <v>31593.4</v>
      </c>
      <c r="F513" t="str">
        <v>USD</v>
      </c>
      <c r="G513" t="str">
        <v>Inventory</v>
      </c>
      <c r="H513" t="str">
        <v>Open</v>
      </c>
      <c r="I513" t="str">
        <v>partial shipment</v>
      </c>
    </row>
    <row r="514" spans="1:9" x14ac:dyDescent="0.2">
      <c r="A514" t="str">
        <v>INV-20250471</v>
      </c>
      <c r="B514" t="str">
        <v>Timberline Mills</v>
      </c>
      <c r="C514" vm="309">
        <v>45996</v>
      </c>
      <c r="D514" vm="351">
        <v>46041</v>
      </c>
      <c r="E514">
        <v>29479.15</v>
      </c>
      <c r="F514" t="str">
        <v>USD</v>
      </c>
      <c r="G514" t="str">
        <v>Inventory</v>
      </c>
      <c r="H514" t="str">
        <v>Paid</v>
      </c>
      <c r="I514" t="str">
        <v>see email</v>
      </c>
    </row>
    <row r="515" spans="1:9" x14ac:dyDescent="0.2">
      <c r="A515" t="str">
        <v>INV-20250038</v>
      </c>
      <c r="B515" t="str">
        <v>Timberline Mills</v>
      </c>
      <c r="C515" vm="309">
        <v>45996</v>
      </c>
      <c r="D515" vm="351">
        <v>46041</v>
      </c>
      <c r="E515">
        <v>9275.76</v>
      </c>
      <c r="F515" t="str">
        <v>USD</v>
      </c>
      <c r="G515" t="str">
        <v>Inventory</v>
      </c>
      <c r="H515" t="str">
        <v>Open</v>
      </c>
      <c r="I515" t="str">
        <v/>
      </c>
    </row>
    <row r="516" spans="1:9" x14ac:dyDescent="0.2">
      <c r="A516" t="str">
        <v>INV-20250195</v>
      </c>
      <c r="B516" t="str">
        <v>Riverbend Fasteners Co.</v>
      </c>
      <c r="C516" vm="310">
        <v>45997</v>
      </c>
      <c r="D516" vm="352">
        <v>46042</v>
      </c>
      <c r="E516">
        <v>43411.81</v>
      </c>
      <c r="F516" t="str">
        <v>USD</v>
      </c>
      <c r="G516" t="str">
        <v>Inventory</v>
      </c>
      <c r="H516" t="str">
        <v>Open</v>
      </c>
      <c r="I516" t="str">
        <v>partial shipment</v>
      </c>
    </row>
    <row r="517" spans="1:9" x14ac:dyDescent="0.2">
      <c r="A517" t="str">
        <v>INV-20250364</v>
      </c>
      <c r="B517" t="str">
        <v>BlueRiver Software</v>
      </c>
      <c r="C517" vm="310">
        <v>45997</v>
      </c>
      <c r="D517" vm="337">
        <v>46012</v>
      </c>
      <c r="E517">
        <v>1691.92</v>
      </c>
      <c r="F517" t="str">
        <v>USD</v>
      </c>
      <c r="G517" t="str">
        <v>Software</v>
      </c>
      <c r="H517" t="str">
        <v>Paid</v>
      </c>
      <c r="I517" t="str">
        <v>rush</v>
      </c>
    </row>
    <row r="518" spans="1:9" x14ac:dyDescent="0.2">
      <c r="A518" t="str">
        <v>INV-20250164</v>
      </c>
      <c r="B518" t="str">
        <v>Ironwood Hardware Supply</v>
      </c>
      <c r="C518" vm="310">
        <v>45997</v>
      </c>
      <c r="D518" vm="352">
        <v>46042</v>
      </c>
      <c r="E518">
        <v>28206.05</v>
      </c>
      <c r="F518" t="str">
        <v>USD</v>
      </c>
      <c r="G518" t="str">
        <v>Inventory</v>
      </c>
      <c r="H518" t="str">
        <v>Open</v>
      </c>
      <c r="I518" t="str">
        <v>see email</v>
      </c>
    </row>
    <row r="519" spans="1:9" x14ac:dyDescent="0.2">
      <c r="A519" t="str">
        <v>INV-20250046</v>
      </c>
      <c r="B519" t="str">
        <v>Harbor Light Utilities</v>
      </c>
      <c r="C519" vm="310">
        <v>45997</v>
      </c>
      <c r="D519" vm="337">
        <v>46012</v>
      </c>
      <c r="E519">
        <v>3200.04</v>
      </c>
      <c r="F519" t="str">
        <v>USD</v>
      </c>
      <c r="G519" t="str">
        <v>Utilities</v>
      </c>
      <c r="H519" t="str">
        <v>Overdue</v>
      </c>
      <c r="I519" t="str">
        <v/>
      </c>
    </row>
    <row r="520" spans="1:9" x14ac:dyDescent="0.2">
      <c r="A520" t="str">
        <v>INV-20250220</v>
      </c>
      <c r="B520" t="str">
        <v>Keller &amp; Moss CPAs</v>
      </c>
      <c r="C520" vm="311">
        <v>45998</v>
      </c>
      <c r="D520" vm="338">
        <v>46028</v>
      </c>
      <c r="E520">
        <v>2192.46</v>
      </c>
      <c r="F520" t="str">
        <v>USD</v>
      </c>
      <c r="G520" t="str">
        <v>Professional Fees</v>
      </c>
      <c r="H520" t="str">
        <v>Paid</v>
      </c>
      <c r="I520" t="str">
        <v>rush</v>
      </c>
    </row>
    <row r="521" spans="1:9" x14ac:dyDescent="0.2">
      <c r="A521" t="str">
        <v>INV-20250133</v>
      </c>
      <c r="B521" t="str">
        <v>BlueRiver Software</v>
      </c>
      <c r="C521" vm="311">
        <v>45998</v>
      </c>
      <c r="D521" vm="320">
        <v>46013</v>
      </c>
      <c r="E521">
        <v>424.12</v>
      </c>
      <c r="F521" t="str">
        <v>USD</v>
      </c>
      <c r="G521" t="str">
        <v>Software</v>
      </c>
      <c r="H521" t="str">
        <v>Overdue</v>
      </c>
      <c r="I521" t="str">
        <v/>
      </c>
    </row>
    <row r="522" spans="1:9" x14ac:dyDescent="0.2">
      <c r="A522" t="str">
        <v>INV-20250260</v>
      </c>
      <c r="B522" t="str">
        <v>Ironwood Hardware Supply</v>
      </c>
      <c r="C522" vm="323">
        <v>45999</v>
      </c>
      <c r="D522" vm="353">
        <v>46044</v>
      </c>
      <c r="E522">
        <v>32107.05</v>
      </c>
      <c r="F522" t="str">
        <v>USD</v>
      </c>
      <c r="G522" t="str">
        <v>Inventory</v>
      </c>
      <c r="H522" t="str">
        <v>Paid</v>
      </c>
      <c r="I522" t="str">
        <v/>
      </c>
    </row>
    <row r="523" spans="1:9" x14ac:dyDescent="0.2">
      <c r="A523" t="str">
        <v>INV-20250324</v>
      </c>
      <c r="B523" t="str">
        <v>Timberline Mills</v>
      </c>
      <c r="C523" vm="313">
        <v>46000</v>
      </c>
      <c r="D523" vm="354">
        <v>46045</v>
      </c>
      <c r="E523">
        <v>26286.04</v>
      </c>
      <c r="F523" t="str">
        <v>USD</v>
      </c>
      <c r="G523" t="str">
        <v>Inventory</v>
      </c>
      <c r="H523" t="str">
        <v>Paid</v>
      </c>
      <c r="I523" t="str">
        <v>approved by JM</v>
      </c>
    </row>
    <row r="524" spans="1:9" x14ac:dyDescent="0.2">
      <c r="A524" t="str">
        <v>INV-20250401</v>
      </c>
      <c r="B524" t="str">
        <v>Timberline Mills</v>
      </c>
      <c r="C524" vm="313">
        <v>46000</v>
      </c>
      <c r="D524" vm="354">
        <v>46045</v>
      </c>
      <c r="E524">
        <v>5299.41</v>
      </c>
      <c r="F524" t="str">
        <v>USD</v>
      </c>
      <c r="G524" t="str">
        <v>Inventory</v>
      </c>
      <c r="H524" t="str">
        <v>Open</v>
      </c>
      <c r="I524" t="str">
        <v>see email</v>
      </c>
    </row>
    <row r="525" spans="1:9" x14ac:dyDescent="0.2">
      <c r="A525" t="str">
        <v>INV-20250271</v>
      </c>
      <c r="B525" t="str">
        <v>Harbor Light Utilities</v>
      </c>
      <c r="C525" vm="355">
        <v>46001</v>
      </c>
      <c r="D525" vm="356">
        <v>46016</v>
      </c>
      <c r="E525">
        <v>3918.44</v>
      </c>
      <c r="F525" t="str">
        <v>USD</v>
      </c>
      <c r="G525" t="str">
        <v>Utilities</v>
      </c>
      <c r="H525" t="str">
        <v>Overdue</v>
      </c>
      <c r="I525" t="str">
        <v/>
      </c>
    </row>
    <row r="526" spans="1:9" x14ac:dyDescent="0.2">
      <c r="A526" t="str">
        <v>INV-20250286</v>
      </c>
      <c r="B526" t="str">
        <v>Riverbend Fasteners Co.</v>
      </c>
      <c r="C526" vm="315">
        <v>46002</v>
      </c>
      <c r="D526" vm="357">
        <v>46047</v>
      </c>
      <c r="E526">
        <v>34641.75</v>
      </c>
      <c r="F526" t="str">
        <v>USD</v>
      </c>
      <c r="G526" t="str">
        <v>Inventory</v>
      </c>
      <c r="H526" t="str">
        <v>Open</v>
      </c>
      <c r="I526" t="str">
        <v>see email</v>
      </c>
    </row>
    <row r="527" spans="1:9" x14ac:dyDescent="0.2">
      <c r="A527" t="str">
        <v>INV-20250411</v>
      </c>
      <c r="B527" t="str">
        <v>Ironwood Hardware Supply</v>
      </c>
      <c r="C527" vm="316">
        <v>46003</v>
      </c>
      <c r="D527" vm="358">
        <v>46048</v>
      </c>
      <c r="E527">
        <v>35612.49</v>
      </c>
      <c r="F527" t="str">
        <v>USD</v>
      </c>
      <c r="G527" t="str">
        <v>Inventory</v>
      </c>
      <c r="H527" t="str">
        <v>Open</v>
      </c>
      <c r="I527" t="str">
        <v/>
      </c>
    </row>
    <row r="528" spans="1:9" x14ac:dyDescent="0.2">
      <c r="A528" t="str">
        <v>INV-20250529</v>
      </c>
      <c r="B528" t="str">
        <v>Ironwood Hardware Supply</v>
      </c>
      <c r="C528" vm="316">
        <v>46003</v>
      </c>
      <c r="D528" vm="358">
        <v>46048</v>
      </c>
      <c r="E528">
        <v>42018.6</v>
      </c>
      <c r="F528" t="str">
        <v>USD</v>
      </c>
      <c r="G528" t="str">
        <v>Inventory</v>
      </c>
      <c r="H528" t="str">
        <v>Open</v>
      </c>
      <c r="I528" t="str">
        <v/>
      </c>
    </row>
    <row r="529" spans="1:9" x14ac:dyDescent="0.2">
      <c r="A529" t="str">
        <v>INV-20250468</v>
      </c>
      <c r="B529" t="str">
        <v>Timberline Mills</v>
      </c>
      <c r="C529" vm="359">
        <v>46004</v>
      </c>
      <c r="D529" vm="360">
        <v>46049</v>
      </c>
      <c r="E529">
        <v>18587.84</v>
      </c>
      <c r="F529" t="str">
        <v>USD</v>
      </c>
      <c r="G529" t="str">
        <v>Inventory</v>
      </c>
      <c r="H529" t="str">
        <v>Open</v>
      </c>
      <c r="I529" t="str">
        <v>rush</v>
      </c>
    </row>
    <row r="530" spans="1:9" x14ac:dyDescent="0.2">
      <c r="A530" t="str">
        <v>INV-20250330</v>
      </c>
      <c r="B530" t="str">
        <v>Timberline Mills</v>
      </c>
      <c r="C530" vm="359">
        <v>46004</v>
      </c>
      <c r="D530" vm="360">
        <v>46049</v>
      </c>
      <c r="E530">
        <v>43255.47</v>
      </c>
      <c r="F530" t="str">
        <v>USD</v>
      </c>
      <c r="G530" t="str">
        <v>Inventory</v>
      </c>
      <c r="H530" t="str">
        <v>Paid</v>
      </c>
      <c r="I530" t="str">
        <v/>
      </c>
    </row>
    <row r="531" spans="1:9" x14ac:dyDescent="0.2">
      <c r="A531" t="str">
        <v>INV-20250392</v>
      </c>
      <c r="B531" t="str">
        <v>Timberline Mills</v>
      </c>
      <c r="C531" vm="359">
        <v>46004</v>
      </c>
      <c r="D531" vm="360">
        <v>46049</v>
      </c>
      <c r="E531">
        <v>7003.84</v>
      </c>
      <c r="F531" t="str">
        <v>USD</v>
      </c>
      <c r="G531" t="str">
        <v>Inventory</v>
      </c>
      <c r="H531" t="str">
        <v>Open</v>
      </c>
      <c r="I531" t="str">
        <v/>
      </c>
    </row>
    <row r="532" spans="1:9" x14ac:dyDescent="0.2">
      <c r="A532" t="str">
        <v>INV-20250063</v>
      </c>
      <c r="B532" t="str">
        <v>BlueRiver Software</v>
      </c>
      <c r="C532" vm="359">
        <v>46004</v>
      </c>
      <c r="D532" vm="328">
        <v>46019</v>
      </c>
      <c r="E532">
        <v>2101.75</v>
      </c>
      <c r="F532" t="str">
        <v>USD</v>
      </c>
      <c r="G532" t="str">
        <v>Software</v>
      </c>
      <c r="H532" t="str">
        <v>Paid</v>
      </c>
      <c r="I532" t="str">
        <v>approved by JM</v>
      </c>
    </row>
    <row r="533" spans="1:9" x14ac:dyDescent="0.2">
      <c r="A533" t="str">
        <v>INV-20250422</v>
      </c>
      <c r="B533" t="str">
        <v>Timberline Mills</v>
      </c>
      <c r="C533" vm="330">
        <v>46005</v>
      </c>
      <c r="D533" vm="361">
        <v>46050</v>
      </c>
      <c r="E533">
        <v>26573.23</v>
      </c>
      <c r="F533" t="str">
        <v>USD</v>
      </c>
      <c r="G533" t="str">
        <v>Inventory</v>
      </c>
      <c r="H533" t="str">
        <v>Open</v>
      </c>
      <c r="I533" t="str">
        <v>approved by JM</v>
      </c>
    </row>
    <row r="534" spans="1:9" x14ac:dyDescent="0.2">
      <c r="A534" t="str">
        <v>INV-20250476</v>
      </c>
      <c r="B534" t="str">
        <v>BlueRiver Software</v>
      </c>
      <c r="C534" vm="330">
        <v>46005</v>
      </c>
      <c r="D534" vm="329">
        <v>46020</v>
      </c>
      <c r="E534">
        <v>461.64</v>
      </c>
      <c r="F534" t="str">
        <v>USD</v>
      </c>
      <c r="G534" t="str">
        <v>Software</v>
      </c>
      <c r="H534" t="str">
        <v>Paid</v>
      </c>
      <c r="I534" t="str">
        <v>rush</v>
      </c>
    </row>
    <row r="535" spans="1:9" x14ac:dyDescent="0.2">
      <c r="A535" t="str">
        <v>INV-20250008</v>
      </c>
      <c r="B535" t="str">
        <v>Northgate Marketing Group</v>
      </c>
      <c r="C535" vm="362">
        <v>46006</v>
      </c>
      <c r="D535" vm="363">
        <v>46036</v>
      </c>
      <c r="E535">
        <v>10741.66</v>
      </c>
      <c r="F535" t="str">
        <v>USD</v>
      </c>
      <c r="G535" t="str">
        <v>Marketing</v>
      </c>
      <c r="H535" t="str">
        <v>Open</v>
      </c>
      <c r="I535" t="str">
        <v/>
      </c>
    </row>
    <row r="536" spans="1:9" x14ac:dyDescent="0.2">
      <c r="A536" t="str">
        <v>INV-20250023</v>
      </c>
      <c r="B536" t="str">
        <v>Harbor Light Utilities</v>
      </c>
      <c r="C536" vm="362">
        <v>46006</v>
      </c>
      <c r="D536" vm="331">
        <v>46021</v>
      </c>
      <c r="E536">
        <v>3714.9</v>
      </c>
      <c r="F536" t="str">
        <v>USD</v>
      </c>
      <c r="G536" t="str">
        <v>Utilities</v>
      </c>
      <c r="H536" t="str">
        <v>Overdue</v>
      </c>
      <c r="I536" t="str">
        <v>approved by JM</v>
      </c>
    </row>
    <row r="537" spans="1:9" x14ac:dyDescent="0.2">
      <c r="A537" t="str">
        <v>INV-20250101</v>
      </c>
      <c r="B537" t="str">
        <v>Northgate Marketing Group</v>
      </c>
      <c r="C537" vm="362">
        <v>46006</v>
      </c>
      <c r="D537" vm="363">
        <v>46036</v>
      </c>
      <c r="E537">
        <v>9486.7800000000007</v>
      </c>
      <c r="F537" t="str">
        <v>USD</v>
      </c>
      <c r="G537" t="str">
        <v>Marketing</v>
      </c>
      <c r="H537" t="str">
        <v>Open</v>
      </c>
      <c r="I537" t="str">
        <v>partial shipment</v>
      </c>
    </row>
    <row r="538" spans="1:9" x14ac:dyDescent="0.2">
      <c r="A538" t="str">
        <v>INV-20250482</v>
      </c>
      <c r="B538" t="str">
        <v>Ironwood Hardware Supply</v>
      </c>
      <c r="C538" vm="362">
        <v>46006</v>
      </c>
      <c r="D538" vm="364">
        <v>46051</v>
      </c>
      <c r="E538">
        <v>4512.47</v>
      </c>
      <c r="F538" t="str">
        <v>USD</v>
      </c>
      <c r="G538" t="str">
        <v>Inventory</v>
      </c>
      <c r="H538" t="str">
        <v>Open</v>
      </c>
      <c r="I538" t="str">
        <v/>
      </c>
    </row>
    <row r="539" spans="1:9" x14ac:dyDescent="0.2">
      <c r="A539" t="str">
        <v>INV-20250121</v>
      </c>
      <c r="B539" t="str">
        <v>Northgate Marketing Group</v>
      </c>
      <c r="C539" vm="317">
        <v>46007</v>
      </c>
      <c r="D539" vm="347">
        <v>46037</v>
      </c>
      <c r="E539">
        <v>4187.8</v>
      </c>
      <c r="F539" t="str">
        <v>USD</v>
      </c>
      <c r="G539" t="str">
        <v>Marketing</v>
      </c>
      <c r="H539" t="str">
        <v>Open</v>
      </c>
      <c r="I539" t="str">
        <v/>
      </c>
    </row>
    <row r="540" spans="1:9" x14ac:dyDescent="0.2">
      <c r="A540" t="str">
        <v>INV-20250086</v>
      </c>
      <c r="B540" t="str">
        <v>Riverbend Fasteners Co.</v>
      </c>
      <c r="C540" vm="317">
        <v>46007</v>
      </c>
      <c r="D540" vm="365">
        <v>46052</v>
      </c>
      <c r="E540">
        <v>46067.42</v>
      </c>
      <c r="F540" t="str">
        <v>USD</v>
      </c>
      <c r="G540" t="str">
        <v>Inventory</v>
      </c>
      <c r="H540" t="str">
        <v>Open</v>
      </c>
      <c r="I540" t="str">
        <v/>
      </c>
    </row>
    <row r="541" spans="1:9" x14ac:dyDescent="0.2">
      <c r="A541" t="str">
        <v>INV-20250543</v>
      </c>
      <c r="B541" t="str">
        <v>Pacific Freight Lines Inc.</v>
      </c>
      <c r="C541" vm="318">
        <v>46008</v>
      </c>
      <c r="D541" vm="348">
        <v>46038</v>
      </c>
      <c r="E541">
        <v>5277.55</v>
      </c>
      <c r="F541" t="str">
        <v>USD</v>
      </c>
      <c r="G541" t="str">
        <v>Freight</v>
      </c>
      <c r="H541" t="str">
        <v>Open</v>
      </c>
      <c r="I541" t="str">
        <v>approved by JM</v>
      </c>
    </row>
    <row r="542" spans="1:9" x14ac:dyDescent="0.2">
      <c r="A542" t="str">
        <v>INV-20250405</v>
      </c>
      <c r="B542" t="str">
        <v>Timberline Mills</v>
      </c>
      <c r="C542" vm="318">
        <v>46008</v>
      </c>
      <c r="D542" vm="366">
        <v>46053</v>
      </c>
      <c r="E542">
        <v>37905.56</v>
      </c>
      <c r="F542" t="str">
        <v>USD</v>
      </c>
      <c r="G542" t="str">
        <v>Inventory</v>
      </c>
      <c r="H542" t="str">
        <v>Open</v>
      </c>
      <c r="I542" t="str">
        <v/>
      </c>
    </row>
    <row r="543" spans="1:9" x14ac:dyDescent="0.2">
      <c r="A543" t="str">
        <v>INV-20250487</v>
      </c>
      <c r="B543" t="str">
        <v>Ironwood Hardware Supply</v>
      </c>
      <c r="C543" vm="367">
        <v>46009</v>
      </c>
      <c r="D543" vm="368">
        <v>46054</v>
      </c>
      <c r="E543">
        <v>33460.89</v>
      </c>
      <c r="F543" t="str">
        <v>USD</v>
      </c>
      <c r="G543" t="str">
        <v>Inventory</v>
      </c>
      <c r="H543" t="str">
        <v>Open</v>
      </c>
      <c r="I543" t="str">
        <v/>
      </c>
    </row>
    <row r="544" spans="1:9" x14ac:dyDescent="0.2">
      <c r="A544" t="str">
        <v>INV-20250307</v>
      </c>
      <c r="B544" t="str">
        <v>Ironwood Hardware Supply</v>
      </c>
      <c r="C544" vm="334">
        <v>46010</v>
      </c>
      <c r="D544" vm="369">
        <v>46055</v>
      </c>
      <c r="E544">
        <v>4074.14</v>
      </c>
      <c r="F544" t="str">
        <v>USD</v>
      </c>
      <c r="G544" t="str">
        <v>Inventory</v>
      </c>
      <c r="H544" t="str">
        <v>Open</v>
      </c>
      <c r="I544" t="str">
        <v>see email</v>
      </c>
    </row>
    <row r="545" spans="1:9" x14ac:dyDescent="0.2">
      <c r="A545" t="str">
        <v>INV-20250022</v>
      </c>
      <c r="B545" t="str">
        <v>Timberline Mills</v>
      </c>
      <c r="C545" vm="370">
        <v>46011</v>
      </c>
      <c r="D545" vm="371">
        <v>46056</v>
      </c>
      <c r="E545">
        <v>41804.89</v>
      </c>
      <c r="F545" t="str">
        <v>USD</v>
      </c>
      <c r="G545" t="str">
        <v>Inventory</v>
      </c>
      <c r="H545" t="str">
        <v>Open</v>
      </c>
      <c r="I545" t="str">
        <v/>
      </c>
    </row>
    <row r="546" spans="1:9" x14ac:dyDescent="0.2">
      <c r="A546" t="str">
        <v>INV-20250144</v>
      </c>
      <c r="B546" t="str">
        <v>Riverbend Fasteners Co.</v>
      </c>
      <c r="C546" vm="370">
        <v>46011</v>
      </c>
      <c r="D546" vm="371">
        <v>46056</v>
      </c>
      <c r="E546">
        <v>17925.28</v>
      </c>
      <c r="F546" t="str">
        <v>USD</v>
      </c>
      <c r="G546" t="str">
        <v>Inventory</v>
      </c>
      <c r="H546" t="str">
        <v>Open</v>
      </c>
      <c r="I546" t="str">
        <v/>
      </c>
    </row>
    <row r="547" spans="1:9" x14ac:dyDescent="0.2">
      <c r="A547" t="str">
        <v>INV-20250540</v>
      </c>
      <c r="B547" t="str">
        <v>Riverbend Fasteners Co.</v>
      </c>
      <c r="C547" vm="370">
        <v>46011</v>
      </c>
      <c r="D547" vm="371">
        <v>46056</v>
      </c>
      <c r="E547">
        <v>4675.66</v>
      </c>
      <c r="F547" t="str">
        <v>USD</v>
      </c>
      <c r="G547" t="str">
        <v>Inventory</v>
      </c>
      <c r="H547" t="str">
        <v>Open</v>
      </c>
      <c r="I547" t="str">
        <v>partial shipment</v>
      </c>
    </row>
    <row r="548" spans="1:9" x14ac:dyDescent="0.2">
      <c r="A548" t="str">
        <v>INV-20250400</v>
      </c>
      <c r="B548" t="str">
        <v>Riverbend Fasteners Co.</v>
      </c>
      <c r="C548" vm="370">
        <v>46011</v>
      </c>
      <c r="D548" vm="371">
        <v>46056</v>
      </c>
      <c r="E548">
        <v>28329.02</v>
      </c>
      <c r="F548" t="str">
        <v>USD</v>
      </c>
      <c r="G548" t="str">
        <v>Inventory</v>
      </c>
      <c r="H548" t="str">
        <v>Open</v>
      </c>
      <c r="I548" t="str">
        <v>rush</v>
      </c>
    </row>
    <row r="549" spans="1:9" x14ac:dyDescent="0.2">
      <c r="A549" t="str">
        <v>INV-20250214</v>
      </c>
      <c r="B549" t="str">
        <v>Riverbend Fasteners Co.</v>
      </c>
      <c r="C549" vm="337">
        <v>46012</v>
      </c>
      <c r="D549" vm="372">
        <v>46057</v>
      </c>
      <c r="E549">
        <v>47193.07</v>
      </c>
      <c r="F549" t="str">
        <v>USD</v>
      </c>
      <c r="G549" t="str">
        <v>Inventory</v>
      </c>
      <c r="H549" t="str">
        <v>Open</v>
      </c>
      <c r="I549" t="str">
        <v/>
      </c>
    </row>
    <row r="550" spans="1:9" x14ac:dyDescent="0.2">
      <c r="A550" t="str">
        <v>INV-20250551</v>
      </c>
      <c r="B550" t="str">
        <v>Ironwood Hardware Supply</v>
      </c>
      <c r="C550" vm="320">
        <v>46013</v>
      </c>
      <c r="D550" vm="373">
        <v>46058</v>
      </c>
      <c r="E550">
        <v>30879.94</v>
      </c>
      <c r="F550" t="str">
        <v>USD</v>
      </c>
      <c r="G550" t="str">
        <v>Inventory</v>
      </c>
      <c r="H550" t="str">
        <v>Open</v>
      </c>
      <c r="I550" t="str">
        <v>see email</v>
      </c>
    </row>
    <row r="551" spans="1:9" x14ac:dyDescent="0.2">
      <c r="A551" t="str">
        <v>INV-20250297</v>
      </c>
      <c r="B551" t="str">
        <v>Riverbend Fasteners Co.</v>
      </c>
      <c r="C551" vm="320">
        <v>46013</v>
      </c>
      <c r="D551" vm="373">
        <v>46058</v>
      </c>
      <c r="E551">
        <v>41641.78</v>
      </c>
      <c r="F551" t="str">
        <v>USD</v>
      </c>
      <c r="G551" t="str">
        <v>Inventory</v>
      </c>
      <c r="H551" t="str">
        <v>Open</v>
      </c>
      <c r="I551" t="str">
        <v>rush</v>
      </c>
    </row>
    <row r="552" spans="1:9" x14ac:dyDescent="0.2">
      <c r="A552" t="str">
        <v>INV-20250424</v>
      </c>
      <c r="B552" t="str">
        <v>Timberline Mills</v>
      </c>
      <c r="C552" vm="320">
        <v>46013</v>
      </c>
      <c r="D552" vm="373">
        <v>46058</v>
      </c>
      <c r="E552">
        <v>11790.08</v>
      </c>
      <c r="F552" t="str">
        <v>USD</v>
      </c>
      <c r="G552" t="str">
        <v>Inventory</v>
      </c>
      <c r="H552" t="str">
        <v>Open</v>
      </c>
      <c r="I552" t="str">
        <v>rush</v>
      </c>
    </row>
    <row r="553" spans="1:9" x14ac:dyDescent="0.2">
      <c r="A553" t="str">
        <v>INV-20250232</v>
      </c>
      <c r="B553" t="str">
        <v>Northgate Marketing Group</v>
      </c>
      <c r="C553" vm="322">
        <v>46014</v>
      </c>
      <c r="D553" vm="353">
        <v>46044</v>
      </c>
      <c r="E553">
        <v>11199.45</v>
      </c>
      <c r="F553" t="str">
        <v>USD</v>
      </c>
      <c r="G553" t="str">
        <v>Marketing</v>
      </c>
      <c r="H553" t="str">
        <v>Open</v>
      </c>
      <c r="I553" t="str">
        <v/>
      </c>
    </row>
    <row r="554" spans="1:9" x14ac:dyDescent="0.2">
      <c r="A554" t="str">
        <v>INV-20250215</v>
      </c>
      <c r="B554" t="str">
        <v>Northgate Marketing Group</v>
      </c>
      <c r="C554" vm="324">
        <v>46015</v>
      </c>
      <c r="D554" vm="354">
        <v>46045</v>
      </c>
      <c r="E554">
        <v>-1153.48</v>
      </c>
      <c r="F554" t="str">
        <v>USD</v>
      </c>
      <c r="G554" t="str">
        <v>Marketing</v>
      </c>
      <c r="H554" t="str">
        <v>Open</v>
      </c>
      <c r="I554" t="str">
        <v>partial shipment</v>
      </c>
    </row>
    <row r="555" spans="1:9" x14ac:dyDescent="0.2">
      <c r="A555" t="str">
        <v>INV-20250315</v>
      </c>
      <c r="B555" t="str">
        <v>Pacific Freight Lines Inc.</v>
      </c>
      <c r="C555" vm="356">
        <v>46016</v>
      </c>
      <c r="D555" vm="374">
        <v>46046</v>
      </c>
      <c r="E555">
        <v>3247.35</v>
      </c>
      <c r="F555" t="str">
        <v>USD</v>
      </c>
      <c r="G555" t="str">
        <v>Freight</v>
      </c>
      <c r="H555" t="str">
        <v>Open</v>
      </c>
      <c r="I555" t="str">
        <v/>
      </c>
    </row>
    <row r="556" spans="1:9" x14ac:dyDescent="0.2">
      <c r="A556" t="str">
        <v>INV-20250231</v>
      </c>
      <c r="B556" t="str">
        <v>Pacific Freight Lines Inc.</v>
      </c>
      <c r="C556" vm="356">
        <v>46016</v>
      </c>
      <c r="D556" vm="374">
        <v>46046</v>
      </c>
      <c r="E556">
        <v>2775.37</v>
      </c>
      <c r="F556" t="str">
        <v>USD</v>
      </c>
      <c r="G556" t="str">
        <v>Freight</v>
      </c>
      <c r="H556" t="str">
        <v>Paid</v>
      </c>
      <c r="I556" t="str">
        <v/>
      </c>
    </row>
    <row r="557" spans="1:9" x14ac:dyDescent="0.2">
      <c r="A557" t="str">
        <v>INV-20250449</v>
      </c>
      <c r="B557" t="str">
        <v>Timberline Mills</v>
      </c>
      <c r="C557" vm="325">
        <v>46017</v>
      </c>
      <c r="D557" vm="375">
        <v>46062</v>
      </c>
      <c r="E557">
        <v>17592.330000000002</v>
      </c>
      <c r="F557" t="str">
        <v>USD</v>
      </c>
      <c r="G557" t="str">
        <v>Inventory</v>
      </c>
      <c r="H557" t="str">
        <v>Open</v>
      </c>
      <c r="I557" t="str">
        <v/>
      </c>
    </row>
    <row r="558" spans="1:9" x14ac:dyDescent="0.2">
      <c r="A558" t="str">
        <v>INV-20250140</v>
      </c>
      <c r="B558" t="str">
        <v>Timberline Mills</v>
      </c>
      <c r="C558" vm="328">
        <v>46019</v>
      </c>
      <c r="D558" vm="376">
        <v>46064</v>
      </c>
      <c r="E558">
        <v>24832.42</v>
      </c>
      <c r="F558" t="str">
        <v>USD</v>
      </c>
      <c r="G558" t="str">
        <v>Inventory</v>
      </c>
      <c r="H558" t="str">
        <v>Paid</v>
      </c>
      <c r="I558" t="str">
        <v/>
      </c>
    </row>
    <row r="559" spans="1:9" x14ac:dyDescent="0.2">
      <c r="A559" t="str">
        <v>INV-20250200</v>
      </c>
      <c r="B559" t="str">
        <v>Pacific Freight Lines Inc.</v>
      </c>
      <c r="C559" vm="329">
        <v>46020</v>
      </c>
      <c r="D559" vm="361">
        <v>46050</v>
      </c>
      <c r="E559">
        <v>2109.44</v>
      </c>
      <c r="F559" t="str">
        <v>USD</v>
      </c>
      <c r="G559" t="str">
        <v>Freight</v>
      </c>
      <c r="H559" t="str">
        <v>Open</v>
      </c>
      <c r="I559" t="str">
        <v/>
      </c>
    </row>
    <row r="560" spans="1:9" x14ac:dyDescent="0.2">
      <c r="A560" t="str">
        <v>INV-20250135</v>
      </c>
      <c r="B560" t="str">
        <v>Harbor Light Utilities</v>
      </c>
      <c r="C560" vm="377">
        <v>46022</v>
      </c>
      <c r="D560" vm="347">
        <v>46037</v>
      </c>
      <c r="E560">
        <v>3920.6</v>
      </c>
      <c r="F560" t="str">
        <v>USD</v>
      </c>
      <c r="G560" t="str">
        <v>Utilities</v>
      </c>
      <c r="H560" t="str">
        <v>Paid</v>
      </c>
      <c r="I560" t="str">
        <v>partial shipment</v>
      </c>
    </row>
    <row r="561" spans="1:9" x14ac:dyDescent="0.2">
      <c r="A561" t="str">
        <v>INV-20250431</v>
      </c>
      <c r="B561" t="str">
        <v>Pacific Freight Lines Inc.</v>
      </c>
      <c r="C561" vm="377">
        <v>46022</v>
      </c>
      <c r="D561" vm="365">
        <v>46052</v>
      </c>
      <c r="E561">
        <v>6387.09</v>
      </c>
      <c r="F561" t="str">
        <v>USD</v>
      </c>
      <c r="G561" t="str">
        <v>Freight</v>
      </c>
      <c r="H561" t="str">
        <v>Open</v>
      </c>
      <c r="I561" t="str">
        <v/>
      </c>
    </row>
  </sheetData>
  <autoFilter ref="A1:I561" xr:uid="{651D4304-067F-C746-A0E6-F63F6353CFD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0933A-5C69-AB4C-9ED5-DDB62A7744B0}">
  <sheetPr>
    <tabColor rgb="FFFFC000"/>
  </sheetPr>
  <dimension ref="A1:C9"/>
  <sheetViews>
    <sheetView showGridLines="0" workbookViewId="0">
      <selection activeCell="A9" sqref="A9"/>
    </sheetView>
  </sheetViews>
  <sheetFormatPr baseColWidth="10" defaultRowHeight="19" x14ac:dyDescent="0.25"/>
  <cols>
    <col min="1" max="3" width="42.33203125" style="1" customWidth="1"/>
  </cols>
  <sheetData>
    <row r="1" spans="1:3" x14ac:dyDescent="0.25">
      <c r="A1" s="1" t="str" cm="1">
        <f t="array" ref="A1:C9">_xlfn._xlws.PY(10,0,AP_Export!A4:I613)</f>
        <v>Check</v>
      </c>
      <c r="B1" s="1" t="str">
        <v>Before</v>
      </c>
      <c r="C1" s="1" t="str">
        <v>After</v>
      </c>
    </row>
    <row r="2" spans="1:3" x14ac:dyDescent="0.25">
      <c r="A2" s="1" t="str">
        <v>Total rows</v>
      </c>
      <c r="B2" s="1">
        <v>609</v>
      </c>
      <c r="C2" s="1">
        <v>560</v>
      </c>
    </row>
    <row r="3" spans="1:3" x14ac:dyDescent="0.25">
      <c r="A3" s="1" t="str">
        <v>Non-invoice rows (blanks, subtotals, footer)</v>
      </c>
      <c r="B3" s="1">
        <v>17</v>
      </c>
      <c r="C3" s="1">
        <v>0</v>
      </c>
    </row>
    <row r="4" spans="1:3" x14ac:dyDescent="0.25">
      <c r="A4" s="1" t="str">
        <v>Duplicate invoices</v>
      </c>
      <c r="B4" s="1">
        <v>32</v>
      </c>
      <c r="C4" s="1">
        <v>0</v>
      </c>
    </row>
    <row r="5" spans="1:3" x14ac:dyDescent="0.25">
      <c r="A5" s="1" t="str">
        <v>Vendor name variants</v>
      </c>
      <c r="B5" s="1">
        <v>38</v>
      </c>
      <c r="C5" s="1">
        <v>8</v>
      </c>
    </row>
    <row r="6" spans="1:3" x14ac:dyDescent="0.25">
      <c r="A6" s="1" t="str">
        <v>Category labels</v>
      </c>
      <c r="B6" s="1">
        <v>20</v>
      </c>
      <c r="C6" s="1">
        <v>6</v>
      </c>
    </row>
    <row r="7" spans="1:3" x14ac:dyDescent="0.25">
      <c r="A7" s="1" t="str">
        <v>Missing categories</v>
      </c>
      <c r="B7" s="1">
        <v>32</v>
      </c>
      <c r="C7" s="1">
        <v>0</v>
      </c>
    </row>
    <row r="8" spans="1:3" x14ac:dyDescent="0.25">
      <c r="A8" s="1" t="str">
        <v>Status labels</v>
      </c>
      <c r="B8" s="1">
        <v>12</v>
      </c>
      <c r="C8" s="1">
        <v>3</v>
      </c>
    </row>
    <row r="9" spans="1:3" x14ac:dyDescent="0.25">
      <c r="A9" s="1" t="str">
        <v>Amounts stored as text</v>
      </c>
      <c r="B9" s="1">
        <v>420</v>
      </c>
      <c r="C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AP_Export</vt:lpstr>
      <vt:lpstr>Clean</vt:lpstr>
      <vt:lpstr>Clean_Data</vt:lpstr>
      <vt:lpstr>Quality_Report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Batista</cp:lastModifiedBy>
  <dcterms:created xsi:type="dcterms:W3CDTF">2026-10-28T01:57:36Z</dcterms:created>
  <dcterms:modified xsi:type="dcterms:W3CDTF">2026-10-28T02:43:24Z</dcterms:modified>
</cp:coreProperties>
</file>